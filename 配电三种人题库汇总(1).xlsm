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000" windowHeight="9840" activeTab="1"/>
  </bookViews>
  <sheets>
    <sheet name="Sheet1" sheetId="1" r:id="rId1"/>
    <sheet name="Sheet1 (2)" sheetId="2" r:id="rId2"/>
  </sheets>
  <calcPr calcId="144525"/>
</workbook>
</file>

<file path=xl/sharedStrings.xml><?xml version="1.0" encoding="utf-8"?>
<sst xmlns="http://schemas.openxmlformats.org/spreadsheetml/2006/main" count="1601" uniqueCount="770">
  <si>
    <t>配电类“三种人”题库汇总</t>
  </si>
  <si>
    <t>序号</t>
  </si>
  <si>
    <t>专业分类</t>
  </si>
  <si>
    <t>题型</t>
  </si>
  <si>
    <t>题干</t>
  </si>
  <si>
    <t>A</t>
  </si>
  <si>
    <t>B</t>
  </si>
  <si>
    <t>C</t>
  </si>
  <si>
    <t>D</t>
  </si>
  <si>
    <t>答案</t>
  </si>
  <si>
    <t>对应条款编号</t>
  </si>
  <si>
    <t>做错次数</t>
  </si>
  <si>
    <t>做题次数</t>
  </si>
  <si>
    <t>配电类“三种人”专业题库专业题库</t>
  </si>
  <si>
    <t>单选题</t>
  </si>
  <si>
    <t>低［电］压是指（ ）及以下的电压等级。</t>
  </si>
  <si>
    <t>36kV</t>
  </si>
  <si>
    <t>250V</t>
  </si>
  <si>
    <t>380V</t>
  </si>
  <si>
    <t>1kV</t>
  </si>
  <si>
    <t>高［电］压是指（ ）以上的电压等级。</t>
  </si>
  <si>
    <t>10kV</t>
  </si>
  <si>
    <t>35kV</t>
  </si>
  <si>
    <t>110kV</t>
  </si>
  <si>
    <t>双重名称指设备的（ ）。</t>
  </si>
  <si>
    <t>电压等级和编号</t>
  </si>
  <si>
    <t>位置和编号</t>
  </si>
  <si>
    <t>名称和位置</t>
  </si>
  <si>
    <t>名称和编号</t>
  </si>
  <si>
    <t>（ ）是为改变电气设备及相关因素的运用状态进行逻辑性操作和有序沟通而设计的一种组织性书面形式控制依据。</t>
  </si>
  <si>
    <t>操作票</t>
  </si>
  <si>
    <t>检修申请单</t>
  </si>
  <si>
    <t>施工方案</t>
  </si>
  <si>
    <t>工作票</t>
  </si>
  <si>
    <t>高处作业是指凡在坠落高度基准面（ ）及以上，有可能坠落的高处进行的作业。</t>
  </si>
  <si>
    <t>1.5m</t>
  </si>
  <si>
    <t>2m</t>
  </si>
  <si>
    <t>2.5m</t>
  </si>
  <si>
    <t>3m</t>
  </si>
  <si>
    <t>发现有违反《中国南方电网有限责任公司电力安全工作规程》的行为，应（ ），经纠正后方可恢复工作。</t>
  </si>
  <si>
    <t>置之不理</t>
  </si>
  <si>
    <t>立即汇报</t>
  </si>
  <si>
    <t>立即制止</t>
  </si>
  <si>
    <t>继续工作</t>
  </si>
  <si>
    <t>公司系统内部作业人员及其直接管理人员间断现场工作连续（ ）以上者，应重新学习本规程并考试合格后方能参加工作。</t>
  </si>
  <si>
    <t xml:space="preserve">1个月 </t>
  </si>
  <si>
    <t>2个月</t>
  </si>
  <si>
    <t>3个月</t>
  </si>
  <si>
    <t>半年</t>
  </si>
  <si>
    <t>5.2.2.2</t>
  </si>
  <si>
    <t>作业期间需将升降口、井坑、孔洞、楼梯和平台的栏杆、护板或盖板拆除时，应装设临时遮栏（围栏）和警示标识，夜间应设警示光源，在作业结束时应（ ）。</t>
  </si>
  <si>
    <t>隔天恢复</t>
  </si>
  <si>
    <t>有时间再恢复</t>
  </si>
  <si>
    <t>及时恢复</t>
  </si>
  <si>
    <t>5.3.11</t>
  </si>
  <si>
    <t>依据《中国南方电网有限责任公司电力安全工作规程》规定，低压施工用电架空线路应采用绝缘导线，架设高度应不低于（  ），交通要道及车辆通行处应不低于5m。</t>
  </si>
  <si>
    <t>4m</t>
  </si>
  <si>
    <t>5.4.4</t>
  </si>
  <si>
    <t>外单位在填写工作票前，应由(  )对外单位进行书面安全技术交底，并在《安全技术交底单》上由双方签名确认。</t>
  </si>
  <si>
    <t>工作票签发人</t>
  </si>
  <si>
    <t>工作许可人</t>
  </si>
  <si>
    <t>运行单位</t>
  </si>
  <si>
    <t>承包商</t>
  </si>
  <si>
    <t>6.1.2.1</t>
  </si>
  <si>
    <t>公司所属设备运维单位认为有必要进行勘察工作的内部工作负责人，应根据工作要求组织现场勘察；（  ）应根据相关要求开展现场勘察。</t>
  </si>
  <si>
    <t>承包商工作负责人</t>
  </si>
  <si>
    <t>分包商工作负责人</t>
  </si>
  <si>
    <t>相关部门负责人</t>
  </si>
  <si>
    <t>内部工作负责人</t>
  </si>
  <si>
    <t>6.2.1</t>
  </si>
  <si>
    <t>工作方案应根据现场勘察结果，依据作业的危险性、复杂性和困难程度，制定有针对性的组织措施、（  ）和技术措施。</t>
  </si>
  <si>
    <t>施工作业票</t>
  </si>
  <si>
    <t>风险等级评定</t>
  </si>
  <si>
    <t>安全措施</t>
  </si>
  <si>
    <t>作业指导书</t>
  </si>
  <si>
    <t>6.2.3</t>
  </si>
  <si>
    <t>作业开工前，工作负责人或工作许可人若认为现场实际情况与原勘察结果可能发生变化时，应重新核实，必要时应修正、完善相应的安全措施，或（   ）。</t>
  </si>
  <si>
    <t>更换工作负责人</t>
  </si>
  <si>
    <t>更换工作票签发人</t>
  </si>
  <si>
    <t>更换工作票许可人</t>
  </si>
  <si>
    <t>重新办理工作票</t>
  </si>
  <si>
    <t>6.2.4</t>
  </si>
  <si>
    <t xml:space="preserve">依据《中国南方电网有限责任公司电力安全工作规程》，（   ）须审核外单位工作人员资格是否具备。 </t>
  </si>
  <si>
    <t>工作负责人</t>
  </si>
  <si>
    <t>工作票许可人</t>
  </si>
  <si>
    <t>工作票会签人</t>
  </si>
  <si>
    <t>值班负责人</t>
  </si>
  <si>
    <t>6.3.1.2</t>
  </si>
  <si>
    <t xml:space="preserve">（   ）对工作票所列内容有疑问时，应向工作票签发人（或工作票会签人）询问清楚，必要时应作补充。 </t>
  </si>
  <si>
    <t>专责监护人</t>
  </si>
  <si>
    <t>6.3.1.4</t>
  </si>
  <si>
    <t xml:space="preserve">（   ）接受调度命令，确认工作票所列安全措施是否正确、完备，是否符合现场条件。 </t>
  </si>
  <si>
    <t>工作班成员</t>
  </si>
  <si>
    <t>6.3.1.5</t>
  </si>
  <si>
    <t>（   ）确认已布置的安全措施符合工作票要求，防范突然来电时安全措施完整可靠，按本规程规定应以手触试的停电设备应实施以手触试。</t>
  </si>
  <si>
    <t>监督被监护人员执行本规程和现场安全措施，及时纠正不安全行为，是（    ）的安全责任。</t>
  </si>
  <si>
    <t>6.3.1.6</t>
  </si>
  <si>
    <t xml:space="preserve">工作班人员发现现场安全措施不适应工作时，应（   ）。 </t>
  </si>
  <si>
    <t>工作后提出疑问</t>
  </si>
  <si>
    <t>及时提出异议</t>
  </si>
  <si>
    <t>以上三种都可以</t>
  </si>
  <si>
    <t>6.3.1.7</t>
  </si>
  <si>
    <t>配电作业运检一体，（  ）可由工作许可人兼任，但工作许可人和工作负责人不得相互兼任。</t>
  </si>
  <si>
    <t>6.3.1.8</t>
  </si>
  <si>
    <t>（   ）、工作票会签人应由熟悉人员安全技能与技术水平，具有相关工作经历、经验丰富的生产管理人员、技术人员、技能人员担任。</t>
  </si>
  <si>
    <t>6.3.2.1</t>
  </si>
  <si>
    <t>（   ）（简称“三种人” ）每年应进行“三种人”资格考试，合格后以发文形式公布。</t>
  </si>
  <si>
    <t>工作班成员、工作负责人和工作许可人</t>
  </si>
  <si>
    <t>工作票签发人、工作负责人和工作许可人</t>
  </si>
  <si>
    <t>工作票签发人、专责监护人和工作负责人</t>
  </si>
  <si>
    <t>值班负责人、工作负责人和工作许可人</t>
  </si>
  <si>
    <t>6.3.2.6</t>
  </si>
  <si>
    <t>紧急抢修应使用紧急抢修工作票，紧急抢修作业从许可时间起超过（   ）后应根据情况改用非紧急抢修工作票。 抢修前预计（   ）内无法完成的，应直接使用相关工作票。</t>
  </si>
  <si>
    <t>8h，8h</t>
  </si>
  <si>
    <t>8h，12h</t>
  </si>
  <si>
    <t>12h，8h</t>
  </si>
  <si>
    <t>12h，12h</t>
  </si>
  <si>
    <t>6.3.3.16</t>
  </si>
  <si>
    <t xml:space="preserve">在厂站内，待投运的新设备已与运行设备连接，进行新设备安装或试验的工作（   ）。 </t>
  </si>
  <si>
    <t>应办理厂站第一种工作票</t>
  </si>
  <si>
    <t>应办理厂站第二种工作票</t>
  </si>
  <si>
    <t>应办理厂站第三种工作票</t>
  </si>
  <si>
    <t>无需办理工作票</t>
  </si>
  <si>
    <t>6.3.3.2</t>
  </si>
  <si>
    <t xml:space="preserve">在厂站内，待投运的新设备未与运行设备连接且安全距离足够，进行新设备安装或试验的工作。（   ）。 </t>
  </si>
  <si>
    <t>6.3.3.3</t>
  </si>
  <si>
    <t xml:space="preserve">在厂站内，非设备运维人员对设备进行红外、紫外检测的工作（   ）。 </t>
  </si>
  <si>
    <t>6.3.3.4</t>
  </si>
  <si>
    <t>外单位从事低压配电网的穿刺带电工作应（   ）。</t>
  </si>
  <si>
    <t>不需办理工作票，但应以书面形式布置和做好记录</t>
  </si>
  <si>
    <t>选用带电作业工作票</t>
  </si>
  <si>
    <t>选用线路第二种工作票</t>
  </si>
  <si>
    <t>选用低压配电网工作票</t>
  </si>
  <si>
    <t>6.3.3.7</t>
  </si>
  <si>
    <t>依据《中国南方电网有限责任公司电力安全工作规程》工作票填写的相关规定，同一工作人员在同一段时间内被列为多张工作票的工作人员时，应经各(  )同意，并在每张工作票的备注栏注明人员变动情况。</t>
  </si>
  <si>
    <t>6.4.1.3</t>
  </si>
  <si>
    <t>依据《中国南方电网有限责任公司电力安全工作规程》工作票接收的相关规定，工作票应在规定时间内以纸质或电子文档形式送达许可部门，由（  ）接收并审核。</t>
  </si>
  <si>
    <t>6.4.3.1</t>
  </si>
  <si>
    <t>（  ）审查工作票或调度检修申请单无误后，正确完整地组织实施各项安全措施并做好安全注意事项的提醒。</t>
  </si>
  <si>
    <t>6.5.2.1</t>
  </si>
  <si>
    <t>厂站内的检修工作，在设备已进行停电、验电和装设接地线，确认安全措施布置完毕后，（  ）应根据本规程规定，以手触试检修设备，证明检修设备确无电压，工作班组方可开始工作。</t>
  </si>
  <si>
    <t>6.5.4.6</t>
  </si>
  <si>
    <t>动火工作负责人，宜具备电气工作票（    ）资格。</t>
  </si>
  <si>
    <t>工作审批人</t>
  </si>
  <si>
    <t>工作签发人</t>
  </si>
  <si>
    <t>24.3.3.2</t>
  </si>
  <si>
    <t>遇有（  ）级以上的大风时，禁止露天进行起重工作。</t>
  </si>
  <si>
    <t>25.1.2</t>
  </si>
  <si>
    <t>在临近带电体处吊装作业时，起重机臂架、吊具、辅具、钢丝绳及吊物等与10kV带电体的距离不得小于（  ）米。</t>
  </si>
  <si>
    <t>25.2.5</t>
  </si>
  <si>
    <t>多选题</t>
  </si>
  <si>
    <t xml:space="preserve">高压配电线路是指（ ）以上、（）及以下的非厂站高压线路，高压输电线路是指（ ）及以上的高压线路。 </t>
  </si>
  <si>
    <t>20kV</t>
  </si>
  <si>
    <t>ABC</t>
  </si>
  <si>
    <t>3.15、3.16</t>
  </si>
  <si>
    <t>依据《中国南方电网有限责任公司电力安全工作规程》规定，作业现场在城区、人口密集区、通行道路上或交通道口施工时，工作场所周围应装设遮栏（围栏），并在相应部位设（）或（），夜间应设（），必要时派专人看守。</t>
  </si>
  <si>
    <t>警戒范围</t>
  </si>
  <si>
    <t>警示标识</t>
  </si>
  <si>
    <t>封路提示</t>
  </si>
  <si>
    <t>警示光源</t>
  </si>
  <si>
    <t>ABD</t>
  </si>
  <si>
    <t>5.3.12</t>
  </si>
  <si>
    <t>依据《中国南方电网有限责任公司电力安全工作规程》，保证安全的组织措施工作流程:（  ）,工作票组织,工作票启用,（  ）,工作监护,工作间断,工作转移,工作变更和延期,（  ）。</t>
  </si>
  <si>
    <t>现场勘察</t>
  </si>
  <si>
    <t>工作许可</t>
  </si>
  <si>
    <t>工作票取消</t>
  </si>
  <si>
    <t>工作终结</t>
  </si>
  <si>
    <t>6.1.1</t>
  </si>
  <si>
    <t>依据《中国南方电网有限责任公司电力安全工作规程》，工作许可手续签名前，工作许可人应对工作负责人就（  ）、（  ）和（  ）进行安全交代。</t>
  </si>
  <si>
    <t>工作票所列安全措施实施情况</t>
  </si>
  <si>
    <t>带电部位</t>
  </si>
  <si>
    <t>注意事项</t>
  </si>
  <si>
    <t>BCD</t>
  </si>
  <si>
    <t>6.1.2.2</t>
  </si>
  <si>
    <t>作业前应召开现场工前会，由工作负责人对工作班组所有人员或工作分组负责人、工作分组负责人对分组人员进行安全交代。交代内容包括（   ）及注意事项。</t>
  </si>
  <si>
    <t>工作任务及分工</t>
  </si>
  <si>
    <t>作业地点及范围</t>
  </si>
  <si>
    <t>作业环境及风险</t>
  </si>
  <si>
    <t>ABCD</t>
  </si>
  <si>
    <t>6.1.2.3</t>
  </si>
  <si>
    <t>现场勘察应查看检修（施工）作业需要（  ）、（  ）、（  ）、邻近线路、交叉跨越、多电源、自备电源、地下管线设施和作业现场的条件、环境及其他影响作业的危险点。</t>
  </si>
  <si>
    <t>施工人员数量</t>
  </si>
  <si>
    <t>停电的范围</t>
  </si>
  <si>
    <t>保留的带电部位</t>
  </si>
  <si>
    <t>装设接地线的位置</t>
  </si>
  <si>
    <t>6.2.2</t>
  </si>
  <si>
    <t>依据《中国南方电网有限责任公司电力安全工作规程》，工作票签发人的安全责任包括（   ）。</t>
  </si>
  <si>
    <t xml:space="preserve">协助工作负责人填写工作票。 </t>
  </si>
  <si>
    <t>确认工作票所列安全措施是否正确完备</t>
  </si>
  <si>
    <t>确认所派工作负责人和工作班人员是否适当、充足</t>
  </si>
  <si>
    <t>确认工作必要性和安全性</t>
  </si>
  <si>
    <t>6.3.1.1</t>
  </si>
  <si>
    <t>依据《中国南方电网有限责任公司电力安全工作规程》，工作负责人(监护人)的安全责任包括了：（   ）；（   ）；（   ）；正确、安全地组织工作。工作前应向工作班全体人员进行安全交代。关注工作人员身体和精神状况是否正常以及工作班人员变动是否合适。监护工作班人员执行现场安全措施和技术措施、正确使用劳动防护用品和工器具，在作业中不发生违章作业、违反劳动纪律的行为；正确、安全地组织工作。</t>
  </si>
  <si>
    <t>亲自并正确完整地填写工作票</t>
  </si>
  <si>
    <t>确认工作票所列安全措施正确、完备，符合现场实际条件，必要时予以补充</t>
  </si>
  <si>
    <t>核实已做完的所有安全措施是否符合作业安全要求</t>
  </si>
  <si>
    <t>检修申请单或规范性书面记录过程管理</t>
  </si>
  <si>
    <t>6.3.1.3</t>
  </si>
  <si>
    <t>依据《中国南方电网有限责任公司电力安全工作规程》，专责监护人的安全责任包括了：（   ）；（   ）；监督被监护人员执行本规程和现场安全措施，及时纠正不安全行为；（   ）。</t>
  </si>
  <si>
    <t>明确被监护人员、监护范围和内容</t>
  </si>
  <si>
    <t>接受调度命令，确认工作票所列安全措施是否正确、完备，是否符合现场条件</t>
  </si>
  <si>
    <t>工作前对被监护人员交代安全措施，告知危险点和安全注意事项</t>
  </si>
  <si>
    <t>及时发现并制止被监护人员违章指挥、违章作业和违反劳动纪律的行为</t>
  </si>
  <si>
    <t>ACD</t>
  </si>
  <si>
    <t>以下工作可共用同一张厂站第一或第二种工作票：（   ）。</t>
  </si>
  <si>
    <t>厂站设备全部停电的工作</t>
  </si>
  <si>
    <t>在同一厂站内几个电气连接部分，依次进行的同一电压等级、同一类型的不停电工作</t>
  </si>
  <si>
    <t xml:space="preserve">在同一厂站内，依次进行的同一电压等级、同类型采取相同安全措施的带电作业。 </t>
  </si>
  <si>
    <t>在同一发电机组的几个电动机上依次进行的工作</t>
  </si>
  <si>
    <t>6.3.3.12</t>
  </si>
  <si>
    <t>依据《中国南方电网有限责任公司电力安全工作规程》工作许可的相关规定，应以手触试的设备包括：（  ）。</t>
  </si>
  <si>
    <t>厂站内的电压等级在35kV及以下、高度在2m以下的一次设备导体部分</t>
  </si>
  <si>
    <t>厂站内的电压等级在110kV及以下、高度在2m以下的一次设备导体部分</t>
  </si>
  <si>
    <t>厂站内的电压等级在35kV及以下、高度在1.5m以下的一次设备导体部分</t>
  </si>
  <si>
    <t>使用厂站工作票的高压配电设备（环网柜和电缆分支箱除外）</t>
  </si>
  <si>
    <t>AD</t>
  </si>
  <si>
    <t>6.5.3.2</t>
  </si>
  <si>
    <t xml:space="preserve">操作票填写应实行“三对照”，包括：（   ）。
</t>
  </si>
  <si>
    <t>对照历史操作票或样票</t>
  </si>
  <si>
    <t>对照操作任务、运行方式和安全措施要求</t>
  </si>
  <si>
    <t>对照系统、设备和“五防”装置的模拟图</t>
  </si>
  <si>
    <t>对照设备名称和编号</t>
  </si>
  <si>
    <t>9.4.3.3</t>
  </si>
  <si>
    <t>动火工作票所列组织人员主要包括动火工作负责人、动火工作签发人、动火工作许可人、（    ）。</t>
  </si>
  <si>
    <t>动火工作审批人</t>
  </si>
  <si>
    <t>消防监护人</t>
  </si>
  <si>
    <t>动火执行人</t>
  </si>
  <si>
    <t>项目经理</t>
  </si>
  <si>
    <t>24.3.2</t>
  </si>
  <si>
    <t>依据《中国南方电网有限责任公司工作票实施规范》（配电部分），存档的工作票应以现场实际使用的工作票为准，能够完整反映现场工作的原始信息记录。工作票附属单、(   )，应随工作票收回存档。</t>
  </si>
  <si>
    <t>安全技术交底单</t>
  </si>
  <si>
    <t>线路工作接地线使用登记管理表</t>
  </si>
  <si>
    <t>验收记录</t>
  </si>
  <si>
    <t>AB</t>
  </si>
  <si>
    <t>《中国南方电网有限责任公司工作票实施规范》（配电部分）5.1.16</t>
  </si>
  <si>
    <t>依据《中国南方电网有限责任公司工作票实施规范》（配电部分），《电力线路工作安全技术交底单》填写时施工应采取的安全措施（   ）线路重合闸或再启动功能投退要求：与拟填写工作票的填写要求一致。</t>
  </si>
  <si>
    <t>应拉断路器（开关）和隔离开关（刀闸）（注明编号）</t>
  </si>
  <si>
    <t>应合接地刀闸（注明编号）、装接地线（注明确实地点）</t>
  </si>
  <si>
    <t>应设遮栏、应挂标示牌（注明位置）</t>
  </si>
  <si>
    <t>保留的带电线路或带电设备（注明确实地点）</t>
  </si>
  <si>
    <t>《中国南方电网有限责任公司工作票实施规范》（配电部分）5.3.12</t>
  </si>
  <si>
    <t>依据《中国南方电网有限责任公司工作票实施规范》（配电部分），《厂站第一种工作票》填写时工作班人员（不包括工作负责人）：（   ）。</t>
  </si>
  <si>
    <t>工作班不分组时应填写除工作负责人以外的所有工作人员（包含工作人员、参与工作的厂家人员以及特种设备操作人员）姓名</t>
  </si>
  <si>
    <t>工作班分组时，填写工作小组负责人姓名，并用括号加数字在小组工作负责人后面注明包括该小组工作负责人在内的小组总人数</t>
  </si>
  <si>
    <t>工作负责人兼任一个工作小组负责人时，应重复填写工作负责人姓名</t>
  </si>
  <si>
    <t>试验班组人员不用单独分组填写</t>
  </si>
  <si>
    <t>《中国南方电网有限责任公司工作票实施规范》（配电部分）5.4.7</t>
  </si>
  <si>
    <t>依据《中国南方电网有限责任公司工作票实施规范》（配电部分），《线路第一种工作票》填写时，应装设的接地线栏：“线路名称及杆号”填写工作班组自行负责组织实施的工作接地线的（  ），及具体的位置（大号侧或小号侧）。若使用分相式接地线时，则应填写相别。</t>
  </si>
  <si>
    <t>线路所属变电站名称</t>
  </si>
  <si>
    <t>线路电压等级</t>
  </si>
  <si>
    <t>线路编号</t>
  </si>
  <si>
    <t>线路名称和杆塔号（或电缆终端编号）</t>
  </si>
  <si>
    <t>BD</t>
  </si>
  <si>
    <t>《中国南方电网有限责任公司工作票实施规范》（配电部分）5.7.13</t>
  </si>
  <si>
    <t>判断题</t>
  </si>
  <si>
    <t>《中国南方电网有限责任公司电力安全工作规程》规定，厂站是发电厂、变电站、开关站、换流站、串补站以及高压配电设备所在区域的总称。</t>
  </si>
  <si>
    <t>正确</t>
  </si>
  <si>
    <t>错误</t>
  </si>
  <si>
    <t>《中国南方电网有限责任公司电力安全工作规程》规定，高压配电设备是指1kV以上、20kV及以下，设置于配电站、开关站等室内或封闭空间内的，完成电力分配功能的电气装置。</t>
  </si>
  <si>
    <t>《中国南方电网有限责任公司电力安全工作规程》规定，低压配电网是指1kV及以下非厂站的低压配电线路和低压配电设备。</t>
  </si>
  <si>
    <t>隔离开关在合位置时，能承载正常回路条件下的电流，能承载规定时间内异常条件（包括短路）下的电流的开关设备，俗称刀闸。</t>
  </si>
  <si>
    <t>3.20</t>
  </si>
  <si>
    <t>新员工、实习人员和临时作业人员，经过安全教育培训后，方可进入现场参加工作。</t>
  </si>
  <si>
    <t>5.2.2.4</t>
  </si>
  <si>
    <t>工作票填写可由施工单位技术人员或资料员代为办理。</t>
  </si>
  <si>
    <t>值班负责人的安全责任不包括审查检修工期是否与批准期限相符。</t>
  </si>
  <si>
    <t>工作负责人（监护人）应由熟悉工作班人员安全意识与安全技能及技术水平，具有充分与必要的现场作业实践经验，及相应管理工作能力的人员担任</t>
  </si>
  <si>
    <t xml:space="preserve">6.3.2.2 </t>
  </si>
  <si>
    <t>涂写杆塔号、装拆标示牌、补装塔材、非接触性仪器测量的工作需办理线路第二种工作票</t>
  </si>
  <si>
    <t>6.3.3.10</t>
  </si>
  <si>
    <t>对高压配电网配电开关柜进行带电局部放电测试工作需办理线路第二种工作票</t>
  </si>
  <si>
    <t>厂站内在无需高压设备停电或做安全措施配合的二次系统、动力等回路上的工作选用厂站第三种工作票。</t>
  </si>
  <si>
    <t>灾后抢修工作不能选用紧急抢修工作票。</t>
  </si>
  <si>
    <t>6.3.3.9</t>
  </si>
  <si>
    <t>使用公司工作票到与接入公司电网的用户电气设备上工作时，工作票应由本单位签发，用户单位认可并签名</t>
  </si>
  <si>
    <t>6.4.2.3</t>
  </si>
  <si>
    <t>低压配电网工作票和紧急抢修工作票如需变更工作负责人，应经工作票签发人同意并通知工作许可人，在工作票上记录变更情况和签名，工作负责人允许变更一次。</t>
  </si>
  <si>
    <t>6.9.4</t>
  </si>
  <si>
    <t>调度操作命令票和现场电气操作票操作项目的填写内容应根据线路或设备的竣工图纸等档案资料内容填写。</t>
  </si>
  <si>
    <t>9.4.3.5</t>
  </si>
  <si>
    <t>在低压用电设备上停电工作前，应断开电源、取下熔丝，验明确无电压后即可开始工作。</t>
  </si>
  <si>
    <t>16.5.1.7</t>
  </si>
  <si>
    <t>低压不停电作业前，应采取绝缘隔离、遮蔽带电部分等防止相间或接地短路的有效措施；若无法采取遮蔽措施时，应由有经验的人员进行作业。</t>
  </si>
  <si>
    <t>16.5.2.4</t>
  </si>
  <si>
    <t>依据《中国南方电网有限责任公司工作票实施规范》（配电部分），填写工作票栏目中的内容，用文字表达未能完全清楚时，可附图补充说明，图中设备可用颜色区分示意，宜用红色代表带电、蓝色代表不带电、黑色代表接地等</t>
  </si>
  <si>
    <t>《中国南方电网有限责任公司工作票实施规范》（配电部分）5.1.2</t>
  </si>
  <si>
    <t>依据《中国南方电网有限责任公司工作票实施规范》（配电部分），信息系统办理的工作票,在现场需作废的，应重新办理，若不具备信息系统重新办理条件的，应现场填写纸质工作票，可不必填写工作票编号。</t>
  </si>
  <si>
    <t>《中国南方电网有限责任公司工作票实施规范》（配电部分）5.1.15</t>
  </si>
  <si>
    <t>配电基础题库</t>
  </si>
  <si>
    <t>（ ）是为电网发电、输电、变电、配电、调度等生产作业安全有序实施而设计的一种组织性书面形式控制依据。</t>
  </si>
  <si>
    <t>依据《中国南方电网有限责任公司电力安全工作规程》规定，作业人员有权依据本规程拒绝违章指挥和强令冒险作业，在（）的情况时，有权停止作业或采取可行的应急措施后撤离作业场所，并立即报告</t>
  </si>
  <si>
    <t>安全</t>
  </si>
  <si>
    <t>发现危及人身安全</t>
  </si>
  <si>
    <t>拨打电话</t>
  </si>
  <si>
    <t>接受检查</t>
  </si>
  <si>
    <t>依据《中国南方电网有限责任公司电力安全工作规程》规定，作业人员经县级或二级甲等及以上医疗机构鉴定，无职业禁忌的病症，至少每两年进行一次体检，高处作业人员应（ ）进行一次体检。</t>
  </si>
  <si>
    <t>每一年</t>
  </si>
  <si>
    <t>每两年</t>
  </si>
  <si>
    <t>每三年</t>
  </si>
  <si>
    <t>每四年</t>
  </si>
  <si>
    <t>5.2.1</t>
  </si>
  <si>
    <t>依据《中国南方电网有限责任公司电力安全工作规程》规定，作业人员应接受相应的安全生产教育和岗位技能培训，（ ）上岗。</t>
  </si>
  <si>
    <t>直接</t>
  </si>
  <si>
    <t>经考试合格</t>
  </si>
  <si>
    <t>经考试后</t>
  </si>
  <si>
    <t>经领导批准后</t>
  </si>
  <si>
    <t>5.2.2.1</t>
  </si>
  <si>
    <t>依据《中国南方电网有限责任公司电力安全工作规程》作业现场在室内母线分段部分、母线交叉部分及部分停电检修易误碰带电设备的，应设有明显标志的（ ）。</t>
  </si>
  <si>
    <t>标示牌</t>
  </si>
  <si>
    <t>隔离挡板（护网）</t>
  </si>
  <si>
    <t>警示牌</t>
  </si>
  <si>
    <t>遮拦</t>
  </si>
  <si>
    <t>5.3.1</t>
  </si>
  <si>
    <t>依据《中国南方电网有限责任公司电力安全工作规程》规定，（ ）进入生产场所，应正确佩戴安全帽，但在办公室、值班室、监控室、班组检修室、继电保护室、自动化室、通信及信息机房等场所，确无磕碰、高处坠落或落物等危险的情况下，可不戴安全帽。</t>
  </si>
  <si>
    <t>任何人</t>
  </si>
  <si>
    <t>5.3.5</t>
  </si>
  <si>
    <t>依据《中国南方电网有限责任公司电力安全工作规程》规定，高压设备接地故障时，室内不得接近故障点（ ）以内。</t>
  </si>
  <si>
    <t>5.3.6</t>
  </si>
  <si>
    <t>依据《中国南方电网有限责任公司电力安全工作规程》规定，高压设备接地故障时，室外不得接近故障点（ ）以内。</t>
  </si>
  <si>
    <t>6m</t>
  </si>
  <si>
    <t>8m</t>
  </si>
  <si>
    <t>5m</t>
  </si>
  <si>
    <t>依据《中国南方电网有限责任公司电力安全工作规程》规定，环网柜应在停电、验电、（）后，方可打开柜门。</t>
  </si>
  <si>
    <t>悬挂标示牌</t>
  </si>
  <si>
    <t>合上接地刀闸</t>
  </si>
  <si>
    <t>装设围栏</t>
  </si>
  <si>
    <t>解除挂锁</t>
  </si>
  <si>
    <t>5.3.7</t>
  </si>
  <si>
    <t>依据《中国南方电网有限责任公司电力安全工作规程》规定，施工用电设施应由（）安装维护，严禁私拉乱接，严禁将电线直接钩挂在闸刀上或直接插入插座内使用。</t>
  </si>
  <si>
    <t>取得资质的人员</t>
  </si>
  <si>
    <t>班组成员</t>
  </si>
  <si>
    <t>5.4.3</t>
  </si>
  <si>
    <t>工作方案应根据（  ），依据作业的危险性、复杂性和困难程度，制定有针对性的组织措施、安全措施和技术措施。</t>
  </si>
  <si>
    <t>停电批复结果</t>
  </si>
  <si>
    <t>现场勘察结果</t>
  </si>
  <si>
    <t>设备运维单位意见</t>
  </si>
  <si>
    <t>承包商工作建议</t>
  </si>
  <si>
    <t>作业开工前，工作负责人或（  ）若认为现场实际情况与原勘察结果可能发生变化时，应重新核实，必要时应修正、完善相应的安全措施，或重新办理工作票。</t>
  </si>
  <si>
    <t>工作监护人</t>
  </si>
  <si>
    <t>工作分组负责人</t>
  </si>
  <si>
    <t>工作分组监护人</t>
  </si>
  <si>
    <t>以上三种都不对</t>
  </si>
  <si>
    <t>高压设备带电作业需选用（   ）。</t>
  </si>
  <si>
    <t>线路第一种工作票</t>
  </si>
  <si>
    <t>厂站第一种工作票</t>
  </si>
  <si>
    <t>厂站第二种工作票</t>
  </si>
  <si>
    <t>带电作业工作票</t>
  </si>
  <si>
    <t>6.3.3.8</t>
  </si>
  <si>
    <t>填用数日内有效的线路第一种工作票，每日收工时若将工作地点所装设的（ ）拆除，次日恢复工作前应重新验电、接地。</t>
  </si>
  <si>
    <t>安全遮拦</t>
  </si>
  <si>
    <t>接地线</t>
  </si>
  <si>
    <t>6.7.3.2</t>
  </si>
  <si>
    <t>检修设备停电时，与停电设备有关的变压器和电压互感器，应将其（    ）断开。</t>
  </si>
  <si>
    <t>高压侧</t>
  </si>
  <si>
    <t>低压侧</t>
  </si>
  <si>
    <t>任意一侧</t>
  </si>
  <si>
    <t>各侧</t>
  </si>
  <si>
    <t>7.2.1.1</t>
  </si>
  <si>
    <t>邻近或交叉其他220kV电力架空线路的工作时，人体或材料与带电线路的安全距离小于（  ），同时无其他可靠安全措施的情况下，高压线路应停电。</t>
  </si>
  <si>
    <t>7.2.3.1</t>
  </si>
  <si>
    <t>验电前，应先在（  ）上确证验电器良好，后立即在停电设备上实施验电。</t>
  </si>
  <si>
    <t>任意电压的带电设备</t>
  </si>
  <si>
    <t>相应电压的带电设备</t>
  </si>
  <si>
    <t>相应电压的停电设备</t>
  </si>
  <si>
    <t>任意电压的停电设备</t>
  </si>
  <si>
    <t>7.3.2</t>
  </si>
  <si>
    <t>装设接地线、个人保安线时，（），拆除接地线的顺序与此相反。</t>
  </si>
  <si>
    <t>应先装导体（线）端，后装接地端</t>
  </si>
  <si>
    <t>同时安装导体（线）端，接地端</t>
  </si>
  <si>
    <t>应先装接地端，后装导体（线）端</t>
  </si>
  <si>
    <t>以上三种方式均可</t>
  </si>
  <si>
    <t>7.4.1.5</t>
  </si>
  <si>
    <t>在厂站、高压配电线路和低压配电网装拆接地线时，应戴（  ）。</t>
  </si>
  <si>
    <t>棉质手套</t>
  </si>
  <si>
    <t>胶手套</t>
  </si>
  <si>
    <t>皮手套</t>
  </si>
  <si>
    <t>绝缘手套</t>
  </si>
  <si>
    <t>7.4.1.8</t>
  </si>
  <si>
    <t xml:space="preserve">当验明检修的低压配电网确已无电压后，可在断开点加锁、悬挂（）的标示牌。现场确实无法加锁的，应在断开点派专人现场看守，防止反送电：
</t>
  </si>
  <si>
    <t>“禁止合闸，有人工作！”或“止步，高压危险”</t>
  </si>
  <si>
    <t>“在此工作”或“止步，高压危险”</t>
  </si>
  <si>
    <t>“禁止合闸，有人工作！”或“禁止合闸，线路有人工作！”</t>
  </si>
  <si>
    <t>“禁止合闸，线路有人工作！”或“止步，高压危险”</t>
  </si>
  <si>
    <t>7.4.3.8</t>
  </si>
  <si>
    <t>在工作地段有感应电伤害风险时，应在作业地点装设（ ）。</t>
  </si>
  <si>
    <t>围栏</t>
  </si>
  <si>
    <t>个人保安线</t>
  </si>
  <si>
    <t>7.4.4.3</t>
  </si>
  <si>
    <t>操作中发生疑问时，应（   ）。</t>
  </si>
  <si>
    <t>立即停止操作</t>
  </si>
  <si>
    <t xml:space="preserve"> 解除闭锁装置后继续操作</t>
  </si>
  <si>
    <t>无须查明问题即继续操作</t>
  </si>
  <si>
    <t xml:space="preserve"> 更改操作票后继续操作</t>
  </si>
  <si>
    <t>9.4.5.5</t>
  </si>
  <si>
    <t>送电操作应按照（   ）的顺序依次操作。</t>
  </si>
  <si>
    <t>断路器→负荷侧隔离开关→电源（母线）侧隔离开关</t>
  </si>
  <si>
    <t>负荷侧隔离开关→电源（母线）侧隔离开关→断路器</t>
  </si>
  <si>
    <t>电源（母线）侧隔离开关→负荷侧隔离开关→断路器</t>
  </si>
  <si>
    <t>9.5.1.1</t>
  </si>
  <si>
    <t>发生人身触电事故时，为解救触电人，可以（   ）。</t>
  </si>
  <si>
    <t>不经许可，立即断开有关设备的电源，但事后应及时报告设备有关单位</t>
  </si>
  <si>
    <t>不经许可，立即断开有关设备的电源，事后无须报告设备有关单位</t>
  </si>
  <si>
    <t>经许可后，再断开有关设备的电源，事后应及时报告设备有关单位</t>
  </si>
  <si>
    <t>经许可后，再断开有关设备的电源，事后无须报告设备有关单位</t>
  </si>
  <si>
    <t>9.5.1.3</t>
  </si>
  <si>
    <t>更换直线绝缘子串，移动或开断导线的作业，当采用单吊线装置时，应采取防止导线脱落的后备保护措施。开断高压配电线路导线时（）进行，开断后应及时对开断的导线端部采取绝缘包裹等遮蔽措施。</t>
  </si>
  <si>
    <t>可三相上同时</t>
  </si>
  <si>
    <t>不得两相及以上同时</t>
  </si>
  <si>
    <t>可两相及以上同时</t>
  </si>
  <si>
    <t>11.2.5</t>
  </si>
  <si>
    <t>高压配电线路带电作业实施绝缘隔离措施时，应（），拆除时顺序相反</t>
  </si>
  <si>
    <t>按先远后近、先下后上的顺序进行</t>
  </si>
  <si>
    <t>按先近后远、先上后下的顺序进行</t>
  </si>
  <si>
    <t>按先近后远、先下后上的顺序进行</t>
  </si>
  <si>
    <t>11.2.10</t>
  </si>
  <si>
    <t>带电断、接空载电缆线路的连接引线应采取消弧措施，不应直接带电断、接。断、接电缆引线前应检查相序并做好标志。10kV 空载电缆长度不宜大于3km。当空载电缆电容电流大于（）A 时，应使用消弧开关进行操作。</t>
  </si>
  <si>
    <t>11.4.5</t>
  </si>
  <si>
    <t>风力大于（   ）级时应停止在带电线路杆塔上的作业。</t>
  </si>
  <si>
    <t xml:space="preserve">12.3.3 </t>
  </si>
  <si>
    <t>工作人员和工器具与邻近或交叉的110kV带电线路的距离不得小于（    ）。</t>
  </si>
  <si>
    <t xml:space="preserve">12.4.1 </t>
  </si>
  <si>
    <t>在交叉档内松紧、降低或架设导（地）线的工作，只有停电检修线路在带电线路（      ）方时方可进行，并应采取措施防止导（地）线产生跳动或过牵引而与带电导线的距离小于规定的安全距离。</t>
  </si>
  <si>
    <t>上</t>
  </si>
  <si>
    <t>下</t>
  </si>
  <si>
    <t>左</t>
  </si>
  <si>
    <t>右</t>
  </si>
  <si>
    <t xml:space="preserve">12.4.4 </t>
  </si>
  <si>
    <t>杆塔施工过程需要采用临时拉线过夜时，应对临时拉线采取（       ）措施。</t>
  </si>
  <si>
    <t>加固和防盗</t>
  </si>
  <si>
    <t>竖标示牌</t>
  </si>
  <si>
    <t>设置围栏</t>
  </si>
  <si>
    <t>悬挂指示灯</t>
  </si>
  <si>
    <t>14.1.3</t>
  </si>
  <si>
    <t>新立杆塔在（     ）或未做好临时拉线前，不应攀登。</t>
  </si>
  <si>
    <t xml:space="preserve">未安装金具   </t>
  </si>
  <si>
    <t xml:space="preserve">杆基未完全牢固   </t>
  </si>
  <si>
    <t>未编号</t>
  </si>
  <si>
    <t>未架线</t>
  </si>
  <si>
    <t xml:space="preserve">14.3.3 </t>
  </si>
  <si>
    <t>在10kV带电设备附近进行立撤杆时，杆塔、拉线、临时拉线与带电设备的安全距离应不少于（）米，且有防止立、撤杆过程中拉线跳动和杆塔倾斜接近带电导线的措施。</t>
  </si>
  <si>
    <t>14.4.14</t>
  </si>
  <si>
    <t>开启高压电缆分支箱（室）门应（）进行，接触电缆设备前应验明确无电压并接地。</t>
  </si>
  <si>
    <t>单独</t>
  </si>
  <si>
    <t>两人</t>
  </si>
  <si>
    <t>三人</t>
  </si>
  <si>
    <t>15.2.12</t>
  </si>
  <si>
    <t>电力电缆试验要拆除接地线时，应征得（ ）的许可，方可进行。</t>
  </si>
  <si>
    <t>运行人员</t>
  </si>
  <si>
    <t xml:space="preserve">15.3.1  </t>
  </si>
  <si>
    <t>依据《中国南方电网有限责任公司电力安全工作规程》，10kV户外电力装置的裸露部分在跨越人行过道或作业区时，若导电部分对地高度小于（  ）时，该裸露部分两侧和底部应装设护网。</t>
  </si>
  <si>
    <t>2.7米</t>
  </si>
  <si>
    <t>2.8米</t>
  </si>
  <si>
    <t>2.9米</t>
  </si>
  <si>
    <t>3米</t>
  </si>
  <si>
    <t>16.1.3</t>
  </si>
  <si>
    <t>环网柜部分停电工作，若进线柜线路侧有电，应在进线柜设置遮栏，悬挂（   ）标示牌；</t>
  </si>
  <si>
    <t>止步，高压危险</t>
  </si>
  <si>
    <t>禁止合闸，有人工作</t>
  </si>
  <si>
    <t>禁止攀登</t>
  </si>
  <si>
    <t>禁止合闸，线路有人工作</t>
  </si>
  <si>
    <t>16.2.6</t>
  </si>
  <si>
    <t>进入变压器室工作前，应将变压器高压侧短路接地、低压侧短路接地或采取(   )措施。</t>
  </si>
  <si>
    <t>绝缘遮蔽</t>
  </si>
  <si>
    <t>解开绝缘</t>
  </si>
  <si>
    <t>拆除遮蔽</t>
  </si>
  <si>
    <t>拆除隔离</t>
  </si>
  <si>
    <t>16.2.12</t>
  </si>
  <si>
    <t>低压屏（柜）内需要低压出线停电的工作，应（  ）相应出线的空气开关，并在低压出线电缆头上验电、装设接地线，以防止向工作地点反送电。</t>
  </si>
  <si>
    <t>合上</t>
  </si>
  <si>
    <t>断开</t>
  </si>
  <si>
    <t>核对</t>
  </si>
  <si>
    <t>以上都不对</t>
  </si>
  <si>
    <t>16.5.1.5</t>
  </si>
  <si>
    <t>低压不停电的接线或拆线作业应逐相完成，并恢复该相（   ）后，方可进行下一步的作业。</t>
  </si>
  <si>
    <t>供电</t>
  </si>
  <si>
    <t>负荷</t>
  </si>
  <si>
    <t>绝缘</t>
  </si>
  <si>
    <t>接地</t>
  </si>
  <si>
    <t>16.5.2.7</t>
  </si>
  <si>
    <t>电气测量时，人体与10kV高压带电部位的距离不得小于（  ）米的作业安全距离。</t>
  </si>
  <si>
    <t>0.7</t>
  </si>
  <si>
    <t>1.0</t>
  </si>
  <si>
    <t>1.5</t>
  </si>
  <si>
    <t>3.0</t>
  </si>
  <si>
    <t>18.1.3</t>
  </si>
  <si>
    <t>患有精神病、癫痫病及经县级或二级甲等及以上医疗机构鉴定患有高血压、心脏病等不宜从事高处作业的人员，不应参加（）。</t>
  </si>
  <si>
    <t>地面作业</t>
  </si>
  <si>
    <t>继保作业</t>
  </si>
  <si>
    <t>高处作业</t>
  </si>
  <si>
    <t>试验作业</t>
  </si>
  <si>
    <t>20.1.1</t>
  </si>
  <si>
    <t>依据《中国南方电网有限责任公司电力安全工作规程》，保险带、绳使用长度在（  ）以上的应加缓冲器。</t>
  </si>
  <si>
    <t xml:space="preserve"> 1.5m </t>
  </si>
  <si>
    <t xml:space="preserve">2m </t>
  </si>
  <si>
    <t xml:space="preserve"> 2.5m </t>
  </si>
  <si>
    <t xml:space="preserve">3m </t>
  </si>
  <si>
    <t>26.2.3.5</t>
  </si>
  <si>
    <t>发现绝缘工具受潮或表面损伤、脏污时，应（）。</t>
  </si>
  <si>
    <t>无需理会，继续使用</t>
  </si>
  <si>
    <t>清理干净，即可使用</t>
  </si>
  <si>
    <t>及时处理并经试验合格后方可使用</t>
  </si>
  <si>
    <t>及时处理并经试验即可使用</t>
  </si>
  <si>
    <t>27.2.4</t>
  </si>
  <si>
    <t>电气工具使用前应检查（）是否完好，有无接地线；不合格的禁止使用。</t>
  </si>
  <si>
    <t>电线</t>
  </si>
  <si>
    <t>使用说明书</t>
  </si>
  <si>
    <t>操作规程</t>
  </si>
  <si>
    <t>外壳</t>
  </si>
  <si>
    <t>29.1.1.1</t>
  </si>
  <si>
    <t>触电急救应分秒必争，一经明确心跳、呼吸停止的，立即就地迅速用（）进行抢救，并坚持不断地进行，同时及早与医疗急救中心联系，争取医务人员接替救治。</t>
  </si>
  <si>
    <t>输血</t>
  </si>
  <si>
    <t>通畅气道</t>
  </si>
  <si>
    <t>心肺复苏法</t>
  </si>
  <si>
    <t>农村电网低压电气安全工作规程E2.1</t>
  </si>
  <si>
    <t>若发现操作SF6断路器（或SF6负荷开关）漏气时，应立即远离现场（戴防毒面具、穿防护服除外）。室外应远离漏气点10m以上，并处在（）；室内应撤至室外。</t>
  </si>
  <si>
    <t>下风口</t>
  </si>
  <si>
    <t>上风口</t>
  </si>
  <si>
    <t>漏气设备前</t>
  </si>
  <si>
    <t>电气操作导则4.2.7</t>
  </si>
  <si>
    <t>低压配电及装表接电作业时，装（拆）不经电流互感器的电能表、电流表时，线路（）。</t>
  </si>
  <si>
    <t>需停电</t>
  </si>
  <si>
    <t>可带负荷</t>
  </si>
  <si>
    <t>不得带负荷</t>
  </si>
  <si>
    <t>农村电网低压电气安全工作规程13.7</t>
  </si>
  <si>
    <t>填写《线路第一种工作票》工作任务时，需填写线路（），及本次计划安排的工作内容。</t>
  </si>
  <si>
    <t>电压等级、地点</t>
  </si>
  <si>
    <t>电压等级、名称</t>
  </si>
  <si>
    <t>名称、地点</t>
  </si>
  <si>
    <t>名称、编号</t>
  </si>
  <si>
    <t>工作票实施规范（配电部分）5.7.9</t>
  </si>
  <si>
    <t>作业人员有权依据《中国南方电网有限责任公司电力安全工作规程》拒绝违章指挥和强令冒险作业，在发现危及人身安全的情况时，（ ），并立即报告。</t>
  </si>
  <si>
    <t>继续冒险作业</t>
  </si>
  <si>
    <t>有权停止作业</t>
  </si>
  <si>
    <t>采取可行的应急措施后撤离作业场所</t>
  </si>
  <si>
    <t>BC</t>
  </si>
  <si>
    <t>作业人员的基本条件包括：（ ）</t>
  </si>
  <si>
    <t>经县级或二级甲等及以上医疗机构鉴定，无职业禁忌的病症，至少每两年进行一次体检，高处作业人员应每年进行一次体检。</t>
  </si>
  <si>
    <t>按其岗位和工作性质，熟悉《中国南方电网有限责任公司电力安全工作规程》的相关部分</t>
  </si>
  <si>
    <t>应具备必要的电气、安全及相关知识和技能。</t>
  </si>
  <si>
    <t>从事电气作业的人员应掌握触电急救等救护法。</t>
  </si>
  <si>
    <t>环网柜应在（）后，方可打开柜门。</t>
  </si>
  <si>
    <t>停电</t>
  </si>
  <si>
    <t>验电</t>
  </si>
  <si>
    <t>作业前应召开现场工前会，由工作负责人对工作班组所有人员或工作分组负责人、工作分组负责人对分组人员进行安全交代。交代内容包括（   ）安全措施及注意事项。</t>
  </si>
  <si>
    <t>作业开始及结束时间</t>
  </si>
  <si>
    <t>作业开工前，工作负责人或工作许可人若认为现场实际情况与原勘察结果可能发生变化时，应重新核实，必要时应修正、完善相应的（  ），或重新办理（  ）。</t>
  </si>
  <si>
    <t>组织措施</t>
  </si>
  <si>
    <t xml:space="preserve">亲自并正确完整地填写工作票。 </t>
  </si>
  <si>
    <t>依据《中国南方电网有限责任公司电力安全工作规程》，工作负责人(监护人)的安全责任包括了监护工作班人员（   ）。</t>
  </si>
  <si>
    <t>执行现场安全措施</t>
  </si>
  <si>
    <t>执行技术措施</t>
  </si>
  <si>
    <t>正确使用劳动防护用品和工器具</t>
  </si>
  <si>
    <t>在作业中不发生违章作业、违反劳动纪律的行为</t>
  </si>
  <si>
    <t>工作班人员应相互关心作业安全，（   ）。</t>
  </si>
  <si>
    <t>不伤害自己</t>
  </si>
  <si>
    <t>不伤害他人</t>
  </si>
  <si>
    <t>不被他人伤害</t>
  </si>
  <si>
    <t>保护他人不受伤害</t>
  </si>
  <si>
    <t>工作班人员应具有较强的安全意识、相应的安全技能及必要的作业技能；清楚并掌握（   ）。</t>
  </si>
  <si>
    <t>工作任务和内容</t>
  </si>
  <si>
    <t>工作地点</t>
  </si>
  <si>
    <t>危险点</t>
  </si>
  <si>
    <t>存在的安全风险及应采取的控制措施</t>
  </si>
  <si>
    <t>6.3.2.5</t>
  </si>
  <si>
    <t>工作许可后，工作负责人、工作许可人和值班人员任何一方不应擅自变更（   ）和（   ）。</t>
  </si>
  <si>
    <t>临时措施</t>
  </si>
  <si>
    <t>运行方式</t>
  </si>
  <si>
    <t>作业方法</t>
  </si>
  <si>
    <t>6.9.3</t>
  </si>
  <si>
    <t>工作期间，工作负责人因故暂时离开工作现场时，应暂停工作或指定有资质的人员临时代替，并交代清楚（   ），并告知工作许可人和工作班人员。</t>
  </si>
  <si>
    <t>工作任务</t>
  </si>
  <si>
    <t>现场安全措施</t>
  </si>
  <si>
    <t>工作班人员情况</t>
  </si>
  <si>
    <t>其他注意事项</t>
  </si>
  <si>
    <t>6.9.5</t>
  </si>
  <si>
    <t>在电气设备上工作时，保证安全的技术措施包括（  ）。</t>
  </si>
  <si>
    <t>悬挂标示牌和装设遮栏（围栏）</t>
  </si>
  <si>
    <t>7.1.1</t>
  </si>
  <si>
    <t>符合以下情况之一的，低压配电网应停电：（  ）</t>
  </si>
  <si>
    <t>检修的低压配电线路或设备</t>
  </si>
  <si>
    <t>危及线路停电作业安全且不能采取相应安全措施的交叉跨越、平行或同杆塔架设线路</t>
  </si>
  <si>
    <t>工作地段内有可能反送电的各分支线</t>
  </si>
  <si>
    <t>其他需要停电的低压配电线路或设备</t>
  </si>
  <si>
    <t>7.2.4.1</t>
  </si>
  <si>
    <t>线路停电作业装设接地线应遵守以下规定：（  ）</t>
  </si>
  <si>
    <t>工作地段各端以及可能送电到检修线路工作地段的分支线都应装设接地线</t>
  </si>
  <si>
    <t>直流接地极线路上的作业点两端应装设接地线</t>
  </si>
  <si>
    <t>配合停电的线路，可只在工作地点附近装设一处接地线</t>
  </si>
  <si>
    <t>以上选项均不对</t>
  </si>
  <si>
    <t>7.4.3.4</t>
  </si>
  <si>
    <t>当验明检修的低压配电网确已无电压后，至少应采取以下措施之一防止反送电：（  ）</t>
  </si>
  <si>
    <t>所有相线和零线接地并短路</t>
  </si>
  <si>
    <t>在断开点加锁、悬挂“禁止合闸，有人工作！”或“禁止合闸，线路有人工作！”的标示牌。</t>
  </si>
  <si>
    <t>在断开点确实无法加锁的，应在断开点派专人现场看守。</t>
  </si>
  <si>
    <t>电气操作票所列监护人的安全责任，包括：（   ）。</t>
  </si>
  <si>
    <t>审核操作人填写的电气操作票</t>
  </si>
  <si>
    <t xml:space="preserve"> 按操作票顺序向操作人发布操作指令</t>
  </si>
  <si>
    <t>监护操作人执行操作指令</t>
  </si>
  <si>
    <t>操作过程中出现的疑问及异常时汇报值班负责人</t>
  </si>
  <si>
    <t>9.4.1.2</t>
  </si>
  <si>
    <t>执行操作票操作中应做到“三禁止”，“三禁止”是指：（   ）。</t>
  </si>
  <si>
    <t>禁止中断操作</t>
  </si>
  <si>
    <t xml:space="preserve">禁止监护人直接操作   </t>
  </si>
  <si>
    <t>禁止有疑问时盲目操作</t>
  </si>
  <si>
    <t>禁止边操作边做其他无关事项</t>
  </si>
  <si>
    <t>9.4.5.3</t>
  </si>
  <si>
    <t>调度下达命令和现场电气操作，严禁（   ）情况发生。</t>
  </si>
  <si>
    <t>带负荷拉（合）隔离开关</t>
  </si>
  <si>
    <t>带接地刀闸（接地线）合断路器（隔离开关）</t>
  </si>
  <si>
    <t>带电合（挂）接地刀闸（接地线）</t>
  </si>
  <si>
    <t>误分（合）断路器</t>
  </si>
  <si>
    <t>9.5.1.2</t>
  </si>
  <si>
    <t>高压配电线路带电作业绝缘遮蔽或隔离用具有脱落的可能时，应采用可靠措施进行（）。作业位置周围如有接地拉线和低压线等设施，不满足作业安全距离时，也应进行（）。</t>
  </si>
  <si>
    <t>绑扎、固定</t>
  </si>
  <si>
    <t>拆除</t>
  </si>
  <si>
    <t>绝缘遮蔽或隔离</t>
  </si>
  <si>
    <t>AC</t>
  </si>
  <si>
    <t>11.2.11</t>
  </si>
  <si>
    <t>使用临时拉线的安全要求（       ）。</t>
  </si>
  <si>
    <t>不应利用树木或外露岩石作受力桩。</t>
  </si>
  <si>
    <t xml:space="preserve"> 一个锚桩上的临时拉线不应超过两根。</t>
  </si>
  <si>
    <t xml:space="preserve"> 临时拉线不应固定在有可能移动或其他不可靠的物体上。</t>
  </si>
  <si>
    <t xml:space="preserve"> 临时拉线绑扎工作应由有经验的人员担任。</t>
  </si>
  <si>
    <t>带电插拔肘型电缆终端接头时应使用（）。</t>
  </si>
  <si>
    <t>绝缘操作棒</t>
  </si>
  <si>
    <t>戴绝缘手套</t>
  </si>
  <si>
    <t>护目镜</t>
  </si>
  <si>
    <t>15.2.11</t>
  </si>
  <si>
    <t>低压电气工作前，应用低压验电器或测电笔检验（   )是否有电。</t>
  </si>
  <si>
    <t>检修设备</t>
  </si>
  <si>
    <t>材料设备</t>
  </si>
  <si>
    <t>金属外壳</t>
  </si>
  <si>
    <t>相邻设备</t>
  </si>
  <si>
    <t>16.5.1.1</t>
  </si>
  <si>
    <t>低压屏（柜）内需要低压出线停电的工作，应（  ），以防止向工作地点反送电。</t>
  </si>
  <si>
    <t>断开相应出线的空气开关</t>
  </si>
  <si>
    <t>在低压出线电缆头上验电</t>
  </si>
  <si>
    <t>在低压出线电缆头装设接地线</t>
  </si>
  <si>
    <t>合上相应出线的空气开关</t>
  </si>
  <si>
    <t>安全带应采用（）的方式，不应系挂在（）的物件上。</t>
  </si>
  <si>
    <t>高挂低用</t>
  </si>
  <si>
    <t>移动</t>
  </si>
  <si>
    <t>锋利</t>
  </si>
  <si>
    <t>不牢固</t>
  </si>
  <si>
    <t>20.2.2</t>
  </si>
  <si>
    <t>依据《中国南方电网有限责任公司电力安全工作规程》，脚扣和登高板在以下什么情况下不能使用？（  ）：</t>
  </si>
  <si>
    <t>金属部分变形</t>
  </si>
  <si>
    <t>金属部分损伤</t>
  </si>
  <si>
    <t>绳（带）损伤</t>
  </si>
  <si>
    <t>出厂铭牌损伤</t>
  </si>
  <si>
    <t>26.2.4</t>
  </si>
  <si>
    <t>依据《中国南方电网有限责任公司电力安全工作规程》，携带型接地线使用前应检查是否完好， 如发现（  ）均不应使用。</t>
  </si>
  <si>
    <t>绞线松股</t>
  </si>
  <si>
    <t>绞线断股</t>
  </si>
  <si>
    <t>护套严重破损</t>
  </si>
  <si>
    <t>夹具断裂松动</t>
  </si>
  <si>
    <t>26.2.5.2</t>
  </si>
  <si>
    <t>高压触电，可采取下列方法使触电者脱离电源：</t>
  </si>
  <si>
    <t>立即通知有关供电单位或用户停电</t>
  </si>
  <si>
    <t>带上绝缘手套、穿上绝缘靴，使用相应电压等级的绝缘工具按顺序拉开电源开关或熔断器</t>
  </si>
  <si>
    <t>抛掷裸金属线使线路短路接地，迫使保护装置动作，断开电源</t>
  </si>
  <si>
    <t>向领导报告，等待处理</t>
  </si>
  <si>
    <t>农村电网低压电气安全工作规程E2.2.4</t>
  </si>
  <si>
    <t>进行电容器停电工作时，应先断开电源，将电容器（）后才能进行工作。</t>
  </si>
  <si>
    <t>充分放电</t>
  </si>
  <si>
    <t>装设接电线</t>
  </si>
  <si>
    <t>农村电网低压电气安全工作规程13.1.4</t>
  </si>
  <si>
    <t>工作票中的关键词不应有错漏，否则应重新填写。关键词主要包括：断路器、隔离开关、接地刀闸、保护压板等设备的（），（）；断开、合上、投上、取下、短接、拆除、投入、装设、插入、悬挂等操作动词；有关设备编号的阿拉伯数字，甲、乙，一、二，Ⅰ、Ⅱ，A、B 等</t>
  </si>
  <si>
    <t>接地线安装位置</t>
  </si>
  <si>
    <t>接地线编号</t>
  </si>
  <si>
    <t>围栏装设位置</t>
  </si>
  <si>
    <t>工作票实施规范（配电部分）5.1.7</t>
  </si>
  <si>
    <t>依据《中国南方电网有限责任公司电力安全工作规程》，作业现场室内母线分段部分、母线交叉部分及部分停电检修易误碰带电设备的，应设有明显标志的隔离挡板（护网）。</t>
  </si>
  <si>
    <t>高压设备接地故障时，室内不得接近故障点4m以内，室外不得接近故障点8m以内。进入上述范围的人员应穿绝缘靴，接触设备的外壳和构架应戴绝缘手套。</t>
  </si>
  <si>
    <t>依据《中国南方电网有限责任公司电力安全工作规程》规定，作业现场施工用电设施应由取得资质的人员安装维护，严禁私拉乱接，但可以将电线直接钩挂在闸刀上或直接插入插座内使用。</t>
  </si>
  <si>
    <t>室外工作，如遇雷、雨、风等恶劣天气或其他可能危及作业人员安全的情况时，工作负责人或专责监护人根据实际情况，有权决定临时停止工作。</t>
  </si>
  <si>
    <t>6.7.1.1</t>
  </si>
  <si>
    <t>检修设备停电，应将各方面的电源完全断开，允许在只经断路器断开电源或只经换流器闭锁隔离电源的设备上工作。</t>
  </si>
  <si>
    <t>人员工作中与10kV及以下带电设备的距离大于0.35m小于0.7m，同时无绝缘隔板、安全遮栏等措施的，厂站设备应停电。</t>
  </si>
  <si>
    <t>7.2.2.1</t>
  </si>
  <si>
    <t>两台及以上配电变压器低压侧共用一个接地引下线时，其中任一台配电变压器停电检修，其他配电变压器无须停电。</t>
  </si>
  <si>
    <t>7.2.3.2</t>
  </si>
  <si>
    <t>低压配电网停电工作前，对工作中有可能触碰的相邻带电线路、设备应采取停电或绝缘遮蔽措施。</t>
  </si>
  <si>
    <t>7.2.4.2</t>
  </si>
  <si>
    <t>在工作地段有感应电伤害风险时，应在作业地点装设个人保安线。</t>
  </si>
  <si>
    <t xml:space="preserve">工作人员视情况可开启直接封闭带电部分的高压设备柜门、箱盖、封板等。 </t>
  </si>
  <si>
    <t xml:space="preserve">8.1.5 </t>
  </si>
  <si>
    <t>监护操作，操作人在操作过程中不准有任何未经监护人同意的操作行为。</t>
  </si>
  <si>
    <t>9.4.5.1</t>
  </si>
  <si>
    <t>现场电气操作严禁误入带电间隔。</t>
  </si>
  <si>
    <t>临时拉线应在永久拉线全部安装完毕承力后方可拆除。</t>
  </si>
  <si>
    <t>攀登杆塔前，应检查杆根、基础和拉线是否牢固。</t>
  </si>
  <si>
    <t xml:space="preserve">14.3.2 </t>
  </si>
  <si>
    <t>电缆耐压试验前，加压端应做好安全措施，防止人员误入试验场所。另一端应设置围栏并挂上警告标示牌。</t>
  </si>
  <si>
    <t xml:space="preserve">15.3.2  </t>
  </si>
  <si>
    <t>依据《中国南方电网有限责任公司电力安全工作规程》，架空绝缘导线可视为绝缘设备，但不可直接接触或接近。</t>
  </si>
  <si>
    <t>16.3.6</t>
  </si>
  <si>
    <t>低压不停电作业前，应采取绝缘隔离、遮蔽带电部分等防止相间或接地短路的有效措施；若无法采取遮蔽措施时，则将影响作业的带电设备停电。</t>
  </si>
  <si>
    <t>雷电天气时，禁止测量接地电阻、设备绝缘电阻及进行高压侧核相工作。</t>
  </si>
  <si>
    <t>18.1.1</t>
  </si>
  <si>
    <t>依据《中国南方电网有限责任公司电力安全工作规程》，凡发现工作人员有饮酒、精神不振时，禁止登高作业。</t>
  </si>
  <si>
    <t>20.1.2</t>
  </si>
  <si>
    <t>两台及以上起重设备抬吊同一物件，应制订专门的起重作业安全技术措施，并经设备运维单位审批，作业时应有专门技术负责人在场指导。</t>
  </si>
  <si>
    <t>25.1.6</t>
  </si>
  <si>
    <t>配电基础题库案例分析客观题</t>
  </si>
  <si>
    <t>某变电站220kV 甲线 6666 开关代路运行中，为处理该开关B相 CT 故障，调度员向该站下达“将 220kV 甲线 6666开关由冷备用转检修”的综合令。在操作过程中，因五防系统故障，模拟操作无法进行，需要解锁五防后进行操作。监护人在没有履行解锁操作手续的情况下，自行取出了解锁钥匙。到现场后，操作人和监护人错误地走到 666640 地刀（线路地刀）的操作位置， 在没有再次进行验电，没有核对设备编号的情况下，操作人员用解锁钥匙打开 220kV甲线666640 地刀五防锁，插入操作杆进行了操作。操作造成220kV甲线6666线路带电合上接地刀闸，导致了220kV甲线跳闸。
以上事件定义为（）</t>
  </si>
  <si>
    <t>220kV一般电气误操作</t>
  </si>
  <si>
    <t>220kV设备误动</t>
  </si>
  <si>
    <t>220kV恶性电气误操作</t>
  </si>
  <si>
    <t xml:space="preserve">调度误调度 </t>
  </si>
  <si>
    <t>某变电站220kV 甲线 6666 开关代路运行中，为处理该开关B相 CT 故障，调度员向该站下达“将 220kV 甲线 6666开关由冷备用转检修”的综合令。在操作过程中，因五防系统故障，模拟操作无法进行，需要解锁五防后进行操作。监护人在没有履行解锁操作手续的情况下，自行取出了解锁钥匙。到现场后，操作人和监护人错误地走到 666640 地刀（线路地刀）的操作位置， 在没有再次进行验电，没有核对设备编号的情况下，操作人员用解锁钥匙打开 220kV甲线666640 地刀五防锁，插入操作杆进行了操作。操作造成220kV甲线6666线路带电合上接地刀闸，导致了220kV甲线跳闸。
在停电的电气设备上接地（装设接地线或合接地刀闸）前，应（），验明电气设备确无电压。</t>
  </si>
  <si>
    <t>先验电</t>
  </si>
  <si>
    <t>直接操作</t>
  </si>
  <si>
    <t>用手触摸设备</t>
  </si>
  <si>
    <t>以上均不正确</t>
  </si>
  <si>
    <t>某变电站220kV 甲线 6666 开关代路运行中，为处理该开关B相 CT 故障，调度员向该站下达“将 220kV 甲线 6666开关由冷备用转检修”的综合令。在操作过程中，因五防系统故障，模拟操作无法进行，需要解锁五防后进行操作。监护人在没有履行解锁操作手续的情况下，自行取出了解锁钥匙。到现场后，操作人和监护人错误地走到 666640 地刀（线路地刀）的操作位置， 在没有再次进行验电，没有核对设备编号的情况下，操作人员用解锁钥匙打开 220kV甲线666640 地刀五防锁，插入操作杆进行了操作。操作造成220kV甲线6666线路带电合上接地刀闸，导致了220kV甲线跳闸。
操作中禁止防误操作闭锁功能（装置）随意退出运行，若需解除闭锁功能（装置）应（）。</t>
  </si>
  <si>
    <t>经当值调度同意</t>
  </si>
  <si>
    <t>经运行单位按解锁技术流程批准</t>
  </si>
  <si>
    <t>经操作人员和监护人员讨论后自行决定</t>
  </si>
  <si>
    <t>操作人自行判断决定</t>
  </si>
  <si>
    <t>某变电站220kV 甲线 6666 开关代路运行中，为处理该开关B相 CT 故障，调度员向该站下达“将 220kV 甲线 6666开关由冷备用转检修”的综合令。在操作过程中，因五防系统故障，模拟操作无法进行，需要解锁五防后进行操作。监护人在没有履行解锁操作手续的情况下，自行取出了解锁钥匙。到现场后，操作人和监护人错误地走到 666640 地刀（线路地刀）的操作位置， 在没有再次进行验电，没有核对设备编号的情况下，操作人员用解锁钥匙打开 220kV甲线666640 地刀五防锁，插入操作杆进行了操作。操作造成220kV甲线6666线路带电合上接地刀闸，导致了220kV甲线跳闸。
执行操作票操作中应做到“三禁止”，不包括（）</t>
  </si>
  <si>
    <t>禁止监护人直接操作</t>
  </si>
  <si>
    <t>禁止避雨</t>
  </si>
  <si>
    <t>某公司的施工班长周某带领 11 人进行某线#1 杆至#25 杆中压架空线路大修及抗风加固。根据工作安排，龙某和杨某两个人一班，到#5 杆挂安全接地线。 龙某是施工员， 杨某是监护人。杨某打好接地桩后发现验电笔和绝缘手套没有带，随后跑回车上寻找。此时，龙某在没有监护人的情况下登上了#4 杆，进行挂接安全接地线，导致触电死亡。
以上事件定义为（）</t>
  </si>
  <si>
    <t>一般电力设备事故</t>
  </si>
  <si>
    <t>一般电力人身事故</t>
  </si>
  <si>
    <t>较大电力人身事故</t>
  </si>
  <si>
    <t>一般电力安全事故</t>
  </si>
  <si>
    <t>某公司的施工班长周某带领 11 人进行某线#1 杆至#25 杆中压架空线路大修及抗风加固。根据工作安排，龙某和杨某两个人一班，到#5 杆挂安全接地线。 龙某是施工员， 杨某是监护人。杨某打好接地桩后发现验电笔和绝缘手套没有带，随后跑回车上寻找。此时，龙某在没有监护人的情况下登上了#4 杆，进行挂接安全接地线，导致触电死亡。
装设接地线应先装（ ），后装（ ）；拆除接地线应先拆（ ），后拆（ ）。</t>
  </si>
  <si>
    <t xml:space="preserve">接地端，导体端；导体端，接地端 </t>
  </si>
  <si>
    <t>导体端，接地端；导体端，接地端</t>
  </si>
  <si>
    <t>导体端，接地端；接地端，导体端</t>
  </si>
  <si>
    <t>接地端，导体端；接地端，导体端</t>
  </si>
  <si>
    <t xml:space="preserve">某公司的施工班长周某带领 11 人进行某线#1 杆至#25 杆中压架空线路大修及抗风加固。根据工作安排，龙某和杨某两个人一班，到#5 杆挂安全接地线。 龙某是施工员， 杨某是监护人。杨某打好接地桩后发现验电笔和绝缘手套没有带，随后跑回车上寻找。此时，龙某在没有监护人的情况下登上了#4 杆，进行挂接安全接地线，导致触电死亡。
成套接地线截面积不应小于（  ）。 </t>
  </si>
  <si>
    <r>
      <rPr>
        <sz val="10"/>
        <color theme="1"/>
        <rFont val="宋体"/>
        <charset val="134"/>
      </rPr>
      <t>10mm</t>
    </r>
    <r>
      <rPr>
        <vertAlign val="superscript"/>
        <sz val="10"/>
        <color indexed="8"/>
        <rFont val="宋体"/>
        <charset val="134"/>
      </rPr>
      <t>2</t>
    </r>
  </si>
  <si>
    <r>
      <rPr>
        <sz val="10"/>
        <color theme="1"/>
        <rFont val="宋体"/>
        <charset val="134"/>
      </rPr>
      <t>16mm</t>
    </r>
    <r>
      <rPr>
        <vertAlign val="superscript"/>
        <sz val="10"/>
        <color indexed="8"/>
        <rFont val="宋体"/>
        <charset val="134"/>
      </rPr>
      <t>2</t>
    </r>
  </si>
  <si>
    <r>
      <rPr>
        <sz val="10"/>
        <color theme="1"/>
        <rFont val="宋体"/>
        <charset val="134"/>
      </rPr>
      <t>25mm</t>
    </r>
    <r>
      <rPr>
        <vertAlign val="superscript"/>
        <sz val="10"/>
        <color indexed="8"/>
        <rFont val="宋体"/>
        <charset val="134"/>
      </rPr>
      <t>2</t>
    </r>
  </si>
  <si>
    <r>
      <rPr>
        <sz val="10"/>
        <color theme="1"/>
        <rFont val="宋体"/>
        <charset val="134"/>
      </rPr>
      <t>30mm</t>
    </r>
    <r>
      <rPr>
        <vertAlign val="superscript"/>
        <sz val="10"/>
        <color indexed="8"/>
        <rFont val="宋体"/>
        <charset val="134"/>
      </rPr>
      <t>2</t>
    </r>
  </si>
  <si>
    <t>某公司的施工班长周某带领 11 人进行某线#1 杆至#25 杆中压架空线路大修及抗风加固。根据工作安排，龙某和杨某两个人一班，到#5 杆挂安全接地线。 龙某是施工员， 杨某是监护人。杨某打好接地桩后发现验电笔和绝缘手套没有带，随后跑回车上寻找。此时，龙某在没有监护人的情况下登上了#4 杆，进行挂接安全接地线，导致触电死亡。
在发生人身触电时,可（）：</t>
  </si>
  <si>
    <t>不经许可，立即断开有关设备的电源</t>
  </si>
  <si>
    <t>立即报告相关领导，经批准后方可断开设备电源</t>
  </si>
  <si>
    <t>继续维持设备运行</t>
  </si>
  <si>
    <t>视系统运行情况安排停电</t>
  </si>
  <si>
    <t>某变电站进行220kVA线2051刀闸检修工作，在A线2051刀闸靠母线侧、开关侧各装设一组接地线。该项工作结束后，值班员考虑到将陆续进行该站220kV I 母其余7组刀闸检修工作，经中调同意保留了2051刀闸靠母线侧所装设的一组接地线。几天后，220kVB线2071刀闸检修工作结束。中调下达综合令：将该站220kV B线207开关由220kV旁路270开关代路运行恢复至本开关运行。由于#1母线仍处于检修状态，应将开关复电于II母线。但操作人通过“五防”系统按“220kV B线207开关恢复至220kV I 母运行”的操作项目填写操作票。操作人自审后交监护人初审，监护人初审后交予值班负责人复审。值班负责人仅审核操作任务、未对操作项目进行审核即下令操作。操作人在合上220kV B线207开关后，由于A线2051靠220kV I 母侧装设有一组接地线，220kV旁路270开关、220kV B线207开关跳闸。
以上事件定义为（）。</t>
  </si>
  <si>
    <t>某变电站进行220kVA线2051刀闸检修工作，在A线2051刀闸靠母线侧、开关侧各装设一组接地线。该项工作结束后，值班员考虑到将陆续进行该站220kV I 母其余7组刀闸检修工作，经中调同意保留了2051刀闸靠母线侧所装设的一组接地线。几天后，220kVB线2071刀闸检修工作结束。中调下达综合令：将该站220kV B线207开关由220kV旁路270开关代路运行恢复至本开关运行。由于#1母线仍处于检修状态，应将开关复电于II母线。但操作人通过“五防”系统按“220kV B线207开关恢复至220kV I 母运行”的操作项目填写操作票。操作人自审后交监护人初审，监护人初审后交予值班负责人复审。值班负责人仅审核操作任务、未对操作项目进行审核即下令操作。操作人在合上220kV B线207开关后，由于A线2051靠220kV I 母侧装设有一组接地线，220kV旁路270开关、220kV B线207开关跳闸。
调度命令票中，操作人的安全责任不包括（）。</t>
  </si>
  <si>
    <t>按照电网实时运行方式、调度检修申请单的有关方式和现场安全措施的要求正确完整地填写调度命令票</t>
  </si>
  <si>
    <t>按照调度命令票内容正确无误地进行操作</t>
  </si>
  <si>
    <t>随时掌握现场的实际操作情况与调度命令票要求一致</t>
  </si>
  <si>
    <t>负责审批调度命令票</t>
  </si>
  <si>
    <t>某变电站进行220kVA线2051刀闸检修工作，在A线2051刀闸靠母线侧、开关侧各装设一组接地线。该项工作结束后，值班员考虑到将陆续进行该站220kV I 母其余7组刀闸检修工作，经中调同意保留了2051刀闸靠母线侧所装设的一组接地线。几天后，220kVB线2071刀闸检修工作结束。中调下达综合令：将该站220kV B线207开关由220kV旁路270开关代路运行恢复至本开关运行。由于#1母线仍处于检修状态，应将开关复电于II母线。但操作人通过“五防”系统按“220kV B线207开关恢复至220kV I 母运行”的操作项目填写操作票。操作人自审后交监护人初审，监护人初审后交予值班负责人复审。值班负责人仅审核操作任务、未对操作项目进行审核即下令操作。操作人在合上220kV B线207开关后，由于A线2051靠220kV I 母侧装设有一组接地线，220kV旁路270开关、220kV B线207开关跳闸。
操作票填写应实行“三对照”，不包括：（   ）。</t>
  </si>
  <si>
    <t>某变电站进行220kVA线2051刀闸检修工作，在A线2051刀闸靠母线侧、开关侧各装设一组接地线。该项工作结束后，值班员考虑到将陆续进行该站220kV I 母其余7组刀闸检修工作，经中调同意保留了2051刀闸靠母线侧所装设的一组接地线。几天后，220kVB线2071刀闸检修工作结束。中调下达综合令：将该站220kV B线207开关由220kV旁路270开关代路运行恢复至本开关运行。由于#1母线仍处于检修状态，应将开关复电于II母线。但操作人通过“五防”系统按“220kV B线207开关恢复至220kV I 母运行”的操作项目填写操作票。操作人自审后交监护人初审，监护人初审后交予值班负责人复审。值班负责人仅审核操作任务、未对操作项目进行审核即下令操作。操作人在合上220kV B线207开关后，由于A线2051靠220kV I 母侧装设有一组接地线，220kV旁路270开关、220kV B线207开关跳闸。
调度操作命令票和现场电气操作票实行“三审签字”制度，不包括（）。</t>
  </si>
  <si>
    <t>操作票操作人自审签名</t>
  </si>
  <si>
    <t>监护人审核签名</t>
  </si>
  <si>
    <t>归属调度审核签名</t>
  </si>
  <si>
    <t>值班负责人审批签名</t>
  </si>
  <si>
    <t>某电力安装工程有限公司罗某未办理工作票带着吉某、王某处理文砖厂主线#18杆接线头烧坏故障，在未布置任何安全措施的情况下，吉某就挎着工作包系着安全带登杆进行作业，罗某、王某俩人负责地面工作，不久听到吉某喊一声“完了”，罗某和王某抬头看到吉某所施工的电线杆上的电线冒着火花，吉某挂在电线杆上，造成吉某死亡。
以上事件定义为（）</t>
  </si>
  <si>
    <t>某电力安装工程有限公司罗某未办理工作票带着吉某、王某处理文砖厂主线#18杆接线头烧坏故障，在未布置任何安全措施的情况下，吉某就挎着工作包系着安全带登杆进行作业，罗某、王某俩人负责地面工作，不久听到吉某喊一声“完了”，罗某和王某抬头看到吉某所施工的电线杆上的电线冒着火花，吉某挂在电线杆上，造成吉某死亡。
在发生人身触电时,可（）：</t>
  </si>
  <si>
    <t>某电力安装工程有限公司罗某未办理工作票带着吉某、王某处理文砖厂主线#18杆接线头烧坏故障，在未布置任何安全措施的情况下，吉某就挎着工作包系着安全带登杆进行作业，罗某、王某俩人负责地面工作，不久听到吉某喊一声“完了”，罗某和王某抬头看到吉某所施工的电线杆上的电线冒着火花，吉某挂在电线杆上，造成吉某死亡。
在电气设备上工作时，应有（）等保证安全的技术措施。</t>
  </si>
  <si>
    <t>某供电局员工符某，在未办理工作票、未正确穿工作服、未戴绝缘手套、未穿绝缘靴、未经许可的情况下冒险登杆使用绝缘杆清理搭挂在10kV导线上的椰树叶，处理过程中椰树叶着火引起绝缘跳线及夹护套的绝缘材料着火熔化下滴，并滴在符某脸上，符某返回地面时发生触电造成1人死亡。 以上事件定义为（）</t>
  </si>
  <si>
    <t>某供电局员工符某，在未办理工作票、未正确穿工作服、未戴绝缘手套、未穿绝缘靴、未经许可的情况下冒险登杆使用绝缘杆清理搭挂在10kV导线上的椰树叶，处理过程中椰树叶着火引起绝缘跳线及夹护套的绝缘材料着火熔化下滴，并滴在符某脸上，符某返回地面时发生触电造成1人死亡。 
巡视人员发现导线断落地面或悬吊空中，应设法防止行人靠近断线地点（）以内，并迅速报告上级。</t>
  </si>
  <si>
    <t>10m</t>
  </si>
  <si>
    <t>某供电局员工符某，在未办理工作票、未正确穿工作服、未戴绝缘手套、未穿绝缘靴、未经许可的情况下冒险登杆使用绝缘杆清理搭挂在10kV导线上的椰树叶，处理过程中椰树叶着火引起绝缘跳线及夹护套的绝缘材料着火熔化下滴，并滴在符某脸上，符某返回地面时发生触电造成1人死亡。 
在线路带电情况下，砍剪靠近线路的树木时，工作负责人必须
在工作开始前，向全体人员说明：10kV电力线路有电，人员、树木、绳索应与导线保持（）米安全距离。</t>
  </si>
  <si>
    <t>Sheet1</t>
  </si>
  <si>
    <t>题目</t>
  </si>
  <si>
    <t>选中错题及未做题目时,暂时无法切换上一题</t>
  </si>
  <si>
    <t>1A</t>
  </si>
  <si>
    <t>2B</t>
  </si>
  <si>
    <t>3C</t>
  </si>
  <si>
    <t>4D</t>
  </si>
  <si>
    <t>在右侧
填写1234
或ABCD
或点击左侧按钮</t>
  </si>
</sst>
</file>

<file path=xl/styles.xml><?xml version="1.0" encoding="utf-8"?>
<styleSheet xmlns="http://schemas.openxmlformats.org/spreadsheetml/2006/main">
  <numFmts count="4">
    <numFmt numFmtId="41" formatCode="_ * #,##0_ ;_ * \-#,##0_ ;_ * &quot;-&quot;_ ;_ @_ "/>
    <numFmt numFmtId="43" formatCode="_ * #,##0.00_ ;_ * \-#,##0.00_ ;_ * &quot;-&quot;??_ ;_ @_ "/>
    <numFmt numFmtId="44" formatCode="_ &quot;￥&quot;* #,##0.00_ ;_ &quot;￥&quot;* \-#,##0.00_ ;_ &quot;￥&quot;* &quot;-&quot;??_ ;_ @_ "/>
    <numFmt numFmtId="42" formatCode="_ &quot;￥&quot;* #,##0_ ;_ &quot;￥&quot;* \-#,##0_ ;_ &quot;￥&quot;* &quot;-&quot;_ ;_ @_ "/>
  </numFmts>
  <fonts count="35">
    <font>
      <sz val="11"/>
      <color theme="1"/>
      <name val="宋体"/>
      <charset val="134"/>
      <scheme val="minor"/>
    </font>
    <font>
      <sz val="11"/>
      <color theme="0" tint="-0.15"/>
      <name val="宋体"/>
      <charset val="134"/>
      <scheme val="minor"/>
    </font>
    <font>
      <b/>
      <sz val="14"/>
      <color theme="0" tint="-0.15"/>
      <name val="宋体"/>
      <charset val="134"/>
      <scheme val="minor"/>
    </font>
    <font>
      <sz val="11"/>
      <color rgb="FFFFFFFF"/>
      <name val="宋体"/>
      <charset val="134"/>
      <scheme val="minor"/>
    </font>
    <font>
      <b/>
      <sz val="14"/>
      <color rgb="FFFFFFFF"/>
      <name val="宋体"/>
      <charset val="134"/>
      <scheme val="minor"/>
    </font>
    <font>
      <b/>
      <sz val="14"/>
      <color theme="1"/>
      <name val="宋体"/>
      <charset val="134"/>
      <scheme val="minor"/>
    </font>
    <font>
      <sz val="9"/>
      <color theme="1"/>
      <name val="宋体"/>
      <charset val="134"/>
      <scheme val="minor"/>
    </font>
    <font>
      <b/>
      <sz val="14"/>
      <color rgb="FF1AE47A"/>
      <name val="宋体"/>
      <charset val="134"/>
      <scheme val="minor"/>
    </font>
    <font>
      <b/>
      <sz val="18"/>
      <color theme="1"/>
      <name val="宋体"/>
      <charset val="134"/>
      <scheme val="minor"/>
    </font>
    <font>
      <b/>
      <sz val="12"/>
      <name val="宋体"/>
      <charset val="134"/>
    </font>
    <font>
      <sz val="10"/>
      <name val="宋体"/>
      <charset val="134"/>
    </font>
    <font>
      <sz val="11"/>
      <color rgb="FFFF0000"/>
      <name val="宋体"/>
      <charset val="134"/>
      <scheme val="minor"/>
    </font>
    <font>
      <sz val="10"/>
      <color theme="1"/>
      <name val="宋体"/>
      <charset val="134"/>
    </font>
    <font>
      <sz val="12"/>
      <name val="宋体"/>
      <charset val="134"/>
    </font>
    <font>
      <sz val="11"/>
      <color theme="0"/>
      <name val="宋体"/>
      <charset val="0"/>
      <scheme val="minor"/>
    </font>
    <font>
      <b/>
      <sz val="13"/>
      <color theme="3"/>
      <name val="宋体"/>
      <charset val="134"/>
      <scheme val="minor"/>
    </font>
    <font>
      <sz val="11"/>
      <color rgb="FFFF0000"/>
      <name val="宋体"/>
      <charset val="0"/>
      <scheme val="minor"/>
    </font>
    <font>
      <sz val="11"/>
      <color rgb="FF3F3F76"/>
      <name val="宋体"/>
      <charset val="0"/>
      <scheme val="minor"/>
    </font>
    <font>
      <sz val="11"/>
      <color theme="1"/>
      <name val="宋体"/>
      <charset val="0"/>
      <scheme val="minor"/>
    </font>
    <font>
      <b/>
      <sz val="15"/>
      <color theme="3"/>
      <name val="宋体"/>
      <charset val="134"/>
      <scheme val="minor"/>
    </font>
    <font>
      <sz val="11"/>
      <color rgb="FF9C0006"/>
      <name val="宋体"/>
      <charset val="0"/>
      <scheme val="minor"/>
    </font>
    <font>
      <b/>
      <sz val="11"/>
      <color rgb="FFFA7D00"/>
      <name val="宋体"/>
      <charset val="0"/>
      <scheme val="minor"/>
    </font>
    <font>
      <b/>
      <sz val="11"/>
      <color theme="3"/>
      <name val="宋体"/>
      <charset val="134"/>
      <scheme val="minor"/>
    </font>
    <font>
      <sz val="11"/>
      <color indexed="8"/>
      <name val="宋体"/>
      <charset val="134"/>
    </font>
    <font>
      <b/>
      <sz val="11"/>
      <color rgb="FF3F3F3F"/>
      <name val="宋体"/>
      <charset val="0"/>
      <scheme val="minor"/>
    </font>
    <font>
      <i/>
      <sz val="11"/>
      <color rgb="FF7F7F7F"/>
      <name val="宋体"/>
      <charset val="0"/>
      <scheme val="minor"/>
    </font>
    <font>
      <u/>
      <sz val="11"/>
      <color rgb="FF800080"/>
      <name val="宋体"/>
      <charset val="0"/>
      <scheme val="minor"/>
    </font>
    <font>
      <b/>
      <sz val="11"/>
      <color theme="1"/>
      <name val="宋体"/>
      <charset val="0"/>
      <scheme val="minor"/>
    </font>
    <font>
      <b/>
      <sz val="18"/>
      <color theme="3"/>
      <name val="宋体"/>
      <charset val="134"/>
      <scheme val="minor"/>
    </font>
    <font>
      <u/>
      <sz val="11"/>
      <color rgb="FF0000FF"/>
      <name val="宋体"/>
      <charset val="0"/>
      <scheme val="minor"/>
    </font>
    <font>
      <sz val="11"/>
      <color rgb="FF9C6500"/>
      <name val="宋体"/>
      <charset val="0"/>
      <scheme val="minor"/>
    </font>
    <font>
      <b/>
      <sz val="11"/>
      <color rgb="FFFFFFFF"/>
      <name val="宋体"/>
      <charset val="0"/>
      <scheme val="minor"/>
    </font>
    <font>
      <sz val="11"/>
      <color rgb="FF006100"/>
      <name val="宋体"/>
      <charset val="0"/>
      <scheme val="minor"/>
    </font>
    <font>
      <sz val="11"/>
      <color rgb="FFFA7D00"/>
      <name val="宋体"/>
      <charset val="0"/>
      <scheme val="minor"/>
    </font>
    <font>
      <vertAlign val="superscript"/>
      <sz val="10"/>
      <color indexed="8"/>
      <name val="宋体"/>
      <charset val="134"/>
    </font>
  </fonts>
  <fills count="35">
    <fill>
      <patternFill patternType="none"/>
    </fill>
    <fill>
      <patternFill patternType="gray125"/>
    </fill>
    <fill>
      <patternFill patternType="solid">
        <fgColor theme="7" tint="0.8"/>
        <bgColor indexed="64"/>
      </patternFill>
    </fill>
    <fill>
      <patternFill patternType="solid">
        <fgColor theme="0"/>
        <bgColor indexed="64"/>
      </patternFill>
    </fill>
    <fill>
      <patternFill patternType="solid">
        <fgColor theme="9"/>
        <bgColor indexed="64"/>
      </patternFill>
    </fill>
    <fill>
      <patternFill patternType="solid">
        <fgColor theme="8"/>
        <bgColor indexed="64"/>
      </patternFill>
    </fill>
    <fill>
      <patternFill patternType="solid">
        <fgColor theme="5" tint="0.399975585192419"/>
        <bgColor indexed="64"/>
      </patternFill>
    </fill>
    <fill>
      <patternFill patternType="solid">
        <fgColor rgb="FFFFCC99"/>
        <bgColor indexed="64"/>
      </patternFill>
    </fill>
    <fill>
      <patternFill patternType="solid">
        <fgColor theme="8" tint="0.599993896298105"/>
        <bgColor indexed="64"/>
      </patternFill>
    </fill>
    <fill>
      <patternFill patternType="solid">
        <fgColor theme="7"/>
        <bgColor indexed="64"/>
      </patternFill>
    </fill>
    <fill>
      <patternFill patternType="solid">
        <fgColor theme="4" tint="0.799981688894314"/>
        <bgColor indexed="64"/>
      </patternFill>
    </fill>
    <fill>
      <patternFill patternType="solid">
        <fgColor rgb="FFFFFFCC"/>
        <bgColor indexed="64"/>
      </patternFill>
    </fill>
    <fill>
      <patternFill patternType="solid">
        <fgColor rgb="FFFFC7CE"/>
        <bgColor indexed="64"/>
      </patternFill>
    </fill>
    <fill>
      <patternFill patternType="solid">
        <fgColor theme="5"/>
        <bgColor indexed="64"/>
      </patternFill>
    </fill>
    <fill>
      <patternFill patternType="solid">
        <fgColor rgb="FFF2F2F2"/>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bgColor indexed="64"/>
      </patternFill>
    </fill>
    <fill>
      <patternFill patternType="solid">
        <fgColor theme="4"/>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rgb="FFFFEB9C"/>
        <bgColor indexed="64"/>
      </patternFill>
    </fill>
    <fill>
      <patternFill patternType="solid">
        <fgColor rgb="FFA5A5A5"/>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rgb="FFC6EFCE"/>
        <bgColor indexed="64"/>
      </patternFill>
    </fill>
  </fills>
  <borders count="13">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bottom style="double">
        <color rgb="FFFF8001"/>
      </bottom>
      <diagonal/>
    </border>
  </borders>
  <cellStyleXfs count="50">
    <xf numFmtId="0" fontId="0" fillId="0" borderId="0">
      <alignment vertical="center"/>
    </xf>
    <xf numFmtId="42" fontId="0" fillId="0" borderId="0" applyFont="0" applyFill="0" applyBorder="0" applyAlignment="0" applyProtection="0">
      <alignment vertical="center"/>
    </xf>
    <xf numFmtId="0" fontId="18" fillId="15" borderId="0" applyNumberFormat="0" applyBorder="0" applyAlignment="0" applyProtection="0">
      <alignment vertical="center"/>
    </xf>
    <xf numFmtId="0" fontId="17" fillId="7" borderId="6"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8" fillId="16" borderId="0" applyNumberFormat="0" applyBorder="0" applyAlignment="0" applyProtection="0">
      <alignment vertical="center"/>
    </xf>
    <xf numFmtId="0" fontId="20" fillId="12" borderId="0" applyNumberFormat="0" applyBorder="0" applyAlignment="0" applyProtection="0">
      <alignment vertical="center"/>
    </xf>
    <xf numFmtId="43" fontId="0" fillId="0" borderId="0" applyFont="0" applyFill="0" applyBorder="0" applyAlignment="0" applyProtection="0">
      <alignment vertical="center"/>
    </xf>
    <xf numFmtId="0" fontId="14" fillId="22" borderId="0" applyNumberFormat="0" applyBorder="0" applyAlignment="0" applyProtection="0">
      <alignment vertical="center"/>
    </xf>
    <xf numFmtId="0" fontId="29" fillId="0" borderId="0" applyNumberFormat="0" applyFill="0" applyBorder="0" applyAlignment="0" applyProtection="0">
      <alignment vertical="center"/>
    </xf>
    <xf numFmtId="9" fontId="0" fillId="0" borderId="0" applyFont="0" applyFill="0" applyBorder="0" applyAlignment="0" applyProtection="0">
      <alignment vertical="center"/>
    </xf>
    <xf numFmtId="0" fontId="26" fillId="0" borderId="0" applyNumberFormat="0" applyFill="0" applyBorder="0" applyAlignment="0" applyProtection="0">
      <alignment vertical="center"/>
    </xf>
    <xf numFmtId="0" fontId="0" fillId="11" borderId="7" applyNumberFormat="0" applyFont="0" applyAlignment="0" applyProtection="0">
      <alignment vertical="center"/>
    </xf>
    <xf numFmtId="0" fontId="14" fillId="6" borderId="0" applyNumberFormat="0" applyBorder="0" applyAlignment="0" applyProtection="0">
      <alignment vertical="center"/>
    </xf>
    <xf numFmtId="0" fontId="22"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19" fillId="0" borderId="5" applyNumberFormat="0" applyFill="0" applyAlignment="0" applyProtection="0">
      <alignment vertical="center"/>
    </xf>
    <xf numFmtId="0" fontId="15" fillId="0" borderId="5" applyNumberFormat="0" applyFill="0" applyAlignment="0" applyProtection="0">
      <alignment vertical="center"/>
    </xf>
    <xf numFmtId="0" fontId="14" fillId="26" borderId="0" applyNumberFormat="0" applyBorder="0" applyAlignment="0" applyProtection="0">
      <alignment vertical="center"/>
    </xf>
    <xf numFmtId="0" fontId="22" fillId="0" borderId="11" applyNumberFormat="0" applyFill="0" applyAlignment="0" applyProtection="0">
      <alignment vertical="center"/>
    </xf>
    <xf numFmtId="0" fontId="14" fillId="30" borderId="0" applyNumberFormat="0" applyBorder="0" applyAlignment="0" applyProtection="0">
      <alignment vertical="center"/>
    </xf>
    <xf numFmtId="0" fontId="24" fillId="14" borderId="8" applyNumberFormat="0" applyAlignment="0" applyProtection="0">
      <alignment vertical="center"/>
    </xf>
    <xf numFmtId="0" fontId="21" fillId="14" borderId="6" applyNumberFormat="0" applyAlignment="0" applyProtection="0">
      <alignment vertical="center"/>
    </xf>
    <xf numFmtId="0" fontId="31" fillId="29" borderId="10" applyNumberFormat="0" applyAlignment="0" applyProtection="0">
      <alignment vertical="center"/>
    </xf>
    <xf numFmtId="0" fontId="18" fillId="21" borderId="0" applyNumberFormat="0" applyBorder="0" applyAlignment="0" applyProtection="0">
      <alignment vertical="center"/>
    </xf>
    <xf numFmtId="0" fontId="14" fillId="13" borderId="0" applyNumberFormat="0" applyBorder="0" applyAlignment="0" applyProtection="0">
      <alignment vertical="center"/>
    </xf>
    <xf numFmtId="0" fontId="33" fillId="0" borderId="12" applyNumberFormat="0" applyFill="0" applyAlignment="0" applyProtection="0">
      <alignment vertical="center"/>
    </xf>
    <xf numFmtId="0" fontId="27" fillId="0" borderId="9" applyNumberFormat="0" applyFill="0" applyAlignment="0" applyProtection="0">
      <alignment vertical="center"/>
    </xf>
    <xf numFmtId="0" fontId="32" fillId="34" borderId="0" applyNumberFormat="0" applyBorder="0" applyAlignment="0" applyProtection="0">
      <alignment vertical="center"/>
    </xf>
    <xf numFmtId="0" fontId="30" fillId="28" borderId="0" applyNumberFormat="0" applyBorder="0" applyAlignment="0" applyProtection="0">
      <alignment vertical="center"/>
    </xf>
    <xf numFmtId="0" fontId="18" fillId="19" borderId="0" applyNumberFormat="0" applyBorder="0" applyAlignment="0" applyProtection="0">
      <alignment vertical="center"/>
    </xf>
    <xf numFmtId="0" fontId="14" fillId="18" borderId="0" applyNumberFormat="0" applyBorder="0" applyAlignment="0" applyProtection="0">
      <alignment vertical="center"/>
    </xf>
    <xf numFmtId="0" fontId="18" fillId="10" borderId="0" applyNumberFormat="0" applyBorder="0" applyAlignment="0" applyProtection="0">
      <alignment vertical="center"/>
    </xf>
    <xf numFmtId="0" fontId="18" fillId="25" borderId="0" applyNumberFormat="0" applyBorder="0" applyAlignment="0" applyProtection="0">
      <alignment vertical="center"/>
    </xf>
    <xf numFmtId="0" fontId="18" fillId="20" borderId="0" applyNumberFormat="0" applyBorder="0" applyAlignment="0" applyProtection="0">
      <alignment vertical="center"/>
    </xf>
    <xf numFmtId="0" fontId="18" fillId="24" borderId="0" applyNumberFormat="0" applyBorder="0" applyAlignment="0" applyProtection="0">
      <alignment vertical="center"/>
    </xf>
    <xf numFmtId="0" fontId="14" fillId="17" borderId="0" applyNumberFormat="0" applyBorder="0" applyAlignment="0" applyProtection="0">
      <alignment vertical="center"/>
    </xf>
    <xf numFmtId="0" fontId="14" fillId="9" borderId="0" applyNumberFormat="0" applyBorder="0" applyAlignment="0" applyProtection="0">
      <alignment vertical="center"/>
    </xf>
    <xf numFmtId="0" fontId="18" fillId="33" borderId="0" applyNumberFormat="0" applyBorder="0" applyAlignment="0" applyProtection="0">
      <alignment vertical="center"/>
    </xf>
    <xf numFmtId="0" fontId="18" fillId="32" borderId="0" applyNumberFormat="0" applyBorder="0" applyAlignment="0" applyProtection="0">
      <alignment vertical="center"/>
    </xf>
    <xf numFmtId="0" fontId="14" fillId="5" borderId="0" applyNumberFormat="0" applyBorder="0" applyAlignment="0" applyProtection="0">
      <alignment vertical="center"/>
    </xf>
    <xf numFmtId="0" fontId="18" fillId="8" borderId="0" applyNumberFormat="0" applyBorder="0" applyAlignment="0" applyProtection="0">
      <alignment vertical="center"/>
    </xf>
    <xf numFmtId="0" fontId="14" fillId="31" borderId="0" applyNumberFormat="0" applyBorder="0" applyAlignment="0" applyProtection="0">
      <alignment vertical="center"/>
    </xf>
    <xf numFmtId="0" fontId="14" fillId="4" borderId="0" applyNumberFormat="0" applyBorder="0" applyAlignment="0" applyProtection="0">
      <alignment vertical="center"/>
    </xf>
    <xf numFmtId="0" fontId="18" fillId="27" borderId="0" applyNumberFormat="0" applyBorder="0" applyAlignment="0" applyProtection="0">
      <alignment vertical="center"/>
    </xf>
    <xf numFmtId="0" fontId="14" fillId="23" borderId="0" applyNumberFormat="0" applyBorder="0" applyAlignment="0" applyProtection="0">
      <alignment vertical="center"/>
    </xf>
    <xf numFmtId="0" fontId="23" fillId="0" borderId="0">
      <alignment vertical="center"/>
    </xf>
  </cellStyleXfs>
  <cellXfs count="37">
    <xf numFmtId="0" fontId="0" fillId="0" borderId="0" xfId="0">
      <alignment vertical="center"/>
    </xf>
    <xf numFmtId="0" fontId="0" fillId="0" borderId="0" xfId="0" applyFill="1" applyAlignment="1">
      <alignment vertical="center"/>
    </xf>
    <xf numFmtId="0" fontId="1" fillId="0" borderId="0" xfId="0" applyFont="1" applyFill="1" applyAlignment="1" applyProtection="1">
      <alignment vertical="center"/>
      <protection hidden="1"/>
    </xf>
    <xf numFmtId="0" fontId="0" fillId="0" borderId="0" xfId="0" applyFill="1" applyAlignment="1" applyProtection="1">
      <alignment vertical="center"/>
      <protection hidden="1"/>
    </xf>
    <xf numFmtId="0" fontId="0" fillId="0" borderId="0" xfId="0" applyFill="1" applyAlignment="1" applyProtection="1">
      <alignment vertical="center"/>
    </xf>
    <xf numFmtId="0" fontId="2" fillId="0" borderId="0" xfId="0" applyFont="1" applyFill="1" applyAlignment="1" applyProtection="1">
      <alignment vertical="center"/>
      <protection hidden="1"/>
    </xf>
    <xf numFmtId="0" fontId="3" fillId="0" borderId="0" xfId="0" applyFont="1" applyFill="1" applyAlignment="1" applyProtection="1">
      <alignment vertical="center"/>
      <protection hidden="1"/>
    </xf>
    <xf numFmtId="0" fontId="4" fillId="0" borderId="0" xfId="0" applyFont="1" applyFill="1" applyAlignment="1" applyProtection="1">
      <alignment vertical="center"/>
      <protection hidden="1"/>
    </xf>
    <xf numFmtId="0" fontId="5" fillId="0" borderId="0" xfId="0" applyFont="1" applyFill="1" applyAlignment="1" applyProtection="1">
      <alignment vertical="center"/>
      <protection hidden="1"/>
    </xf>
    <xf numFmtId="0" fontId="5" fillId="0" borderId="0" xfId="0" applyFont="1" applyFill="1" applyAlignment="1" applyProtection="1">
      <alignment vertical="center" wrapText="1"/>
      <protection hidden="1"/>
    </xf>
    <xf numFmtId="0" fontId="4" fillId="0" borderId="0" xfId="0" applyFont="1" applyFill="1" applyAlignment="1" applyProtection="1">
      <alignment vertical="center" wrapText="1"/>
      <protection hidden="1"/>
    </xf>
    <xf numFmtId="0" fontId="6" fillId="0" borderId="0" xfId="0" applyFont="1" applyFill="1" applyAlignment="1" applyProtection="1">
      <alignment horizontal="center" vertical="center" wrapText="1"/>
    </xf>
    <xf numFmtId="0" fontId="0" fillId="0" borderId="0" xfId="0" applyFill="1" applyAlignment="1" applyProtection="1">
      <alignment horizontal="center" vertical="center" wrapText="1"/>
      <protection hidden="1"/>
    </xf>
    <xf numFmtId="0" fontId="0" fillId="0" borderId="0" xfId="0" applyFill="1" applyAlignment="1" applyProtection="1">
      <alignment horizontal="center" vertical="center"/>
    </xf>
    <xf numFmtId="0" fontId="0" fillId="0" borderId="0" xfId="0" applyFill="1" applyAlignment="1" applyProtection="1">
      <alignment vertical="center" wrapText="1"/>
      <protection hidden="1"/>
    </xf>
    <xf numFmtId="0" fontId="0" fillId="2" borderId="1" xfId="0" applyFill="1" applyBorder="1" applyAlignment="1" applyProtection="1">
      <alignment horizontal="center" vertical="center"/>
      <protection locked="0"/>
    </xf>
    <xf numFmtId="0" fontId="7" fillId="0" borderId="0" xfId="0" applyFont="1" applyFill="1" applyAlignment="1">
      <alignment vertical="center"/>
    </xf>
    <xf numFmtId="0" fontId="8" fillId="0" borderId="0" xfId="0" applyFont="1" applyAlignment="1">
      <alignment horizontal="center" vertical="center"/>
    </xf>
    <xf numFmtId="0" fontId="9" fillId="3" borderId="2" xfId="0" applyFont="1" applyFill="1" applyBorder="1" applyAlignment="1">
      <alignment horizontal="center" vertical="center" wrapText="1"/>
    </xf>
    <xf numFmtId="0" fontId="10" fillId="3" borderId="2" xfId="0" applyFont="1" applyFill="1" applyBorder="1" applyAlignment="1">
      <alignment horizontal="center" vertical="center" wrapText="1"/>
    </xf>
    <xf numFmtId="0" fontId="10" fillId="3" borderId="2" xfId="49" applyFont="1" applyFill="1" applyBorder="1" applyAlignment="1">
      <alignment horizontal="left" vertical="center" wrapText="1"/>
    </xf>
    <xf numFmtId="0" fontId="10" fillId="3" borderId="2" xfId="49" applyFont="1" applyFill="1" applyBorder="1" applyAlignment="1">
      <alignment horizontal="center" vertical="center" wrapText="1"/>
    </xf>
    <xf numFmtId="0" fontId="11" fillId="0" borderId="0" xfId="0" applyFont="1">
      <alignment vertical="center"/>
    </xf>
    <xf numFmtId="49" fontId="10" fillId="3" borderId="2" xfId="49" applyNumberFormat="1"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0" borderId="2" xfId="49" applyFont="1" applyFill="1" applyBorder="1" applyAlignment="1">
      <alignment horizontal="left" vertical="center" wrapText="1"/>
    </xf>
    <xf numFmtId="0" fontId="12" fillId="0" borderId="2" xfId="49" applyFont="1" applyFill="1" applyBorder="1" applyAlignment="1">
      <alignment horizontal="center" vertical="center" wrapText="1"/>
    </xf>
    <xf numFmtId="0" fontId="10" fillId="0" borderId="2" xfId="0" applyFont="1" applyFill="1" applyBorder="1" applyAlignment="1">
      <alignment horizontal="center" vertical="center" wrapText="1"/>
    </xf>
    <xf numFmtId="0" fontId="10" fillId="0" borderId="2" xfId="49" applyFont="1" applyFill="1" applyBorder="1" applyAlignment="1">
      <alignment horizontal="left" vertical="center" wrapText="1"/>
    </xf>
    <xf numFmtId="0" fontId="10" fillId="0" borderId="2" xfId="49" applyFont="1" applyFill="1" applyBorder="1" applyAlignment="1">
      <alignment horizontal="center" vertical="center" wrapText="1"/>
    </xf>
    <xf numFmtId="0" fontId="12" fillId="0" borderId="3" xfId="0" applyFont="1" applyFill="1" applyBorder="1" applyAlignment="1">
      <alignment vertical="center" wrapText="1"/>
    </xf>
    <xf numFmtId="0" fontId="10" fillId="0" borderId="2" xfId="0" applyFont="1" applyFill="1" applyBorder="1" applyAlignment="1">
      <alignment horizontal="left" vertical="center" wrapText="1"/>
    </xf>
    <xf numFmtId="0" fontId="10" fillId="0" borderId="4" xfId="0" applyFont="1" applyFill="1" applyBorder="1" applyAlignment="1">
      <alignment horizontal="left" vertical="center" wrapText="1"/>
    </xf>
    <xf numFmtId="0" fontId="12" fillId="0" borderId="4" xfId="49" applyFont="1" applyFill="1" applyBorder="1" applyAlignment="1">
      <alignment horizontal="center" vertical="center" wrapText="1"/>
    </xf>
    <xf numFmtId="0" fontId="10" fillId="0" borderId="0" xfId="0" applyFont="1" applyFill="1" applyBorder="1" applyAlignment="1">
      <alignment horizontal="center" vertical="center"/>
    </xf>
    <xf numFmtId="0" fontId="10" fillId="0" borderId="2" xfId="0" applyFont="1" applyFill="1" applyBorder="1" applyAlignment="1">
      <alignment horizontal="center" vertical="center"/>
    </xf>
    <xf numFmtId="0" fontId="13" fillId="0" borderId="2" xfId="0" applyFont="1" applyFill="1" applyBorder="1" applyAlignment="1">
      <alignment horizontal="center" vertical="center"/>
    </xf>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2" xfId="49"/>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r:id="rId1" ax:persistence="persistStreamInit"/>
</file>

<file path=xl/activeX/activeX2.xml><?xml version="1.0" encoding="utf-8"?>
<ax:ocx xmlns:ax="http://schemas.microsoft.com/office/2006/activeX" xmlns:r="http://schemas.openxmlformats.org/officeDocument/2006/relationships" ax:classid="{8BD21D50-EC42-11CE-9E0D-00AA006002F3}" r:id="rId1" ax:persistence="persistStreamInit"/>
</file>

<file path=xl/activeX/activeX3.xml><?xml version="1.0" encoding="utf-8"?>
<ax:ocx xmlns:ax="http://schemas.microsoft.com/office/2006/activeX" xmlns:r="http://schemas.openxmlformats.org/officeDocument/2006/relationships" ax:classid="{8BD21D50-EC42-11CE-9E0D-00AA006002F3}" r:id="rId1" ax:persistence="persistStreamInit"/>
</file>

<file path=xl/activeX/activeX4.xml><?xml version="1.0" encoding="utf-8"?>
<ax:ocx xmlns:ax="http://schemas.microsoft.com/office/2006/activeX" xmlns:r="http://schemas.openxmlformats.org/officeDocument/2006/relationships" ax:classid="{8BD21D50-EC42-11CE-9E0D-00AA006002F3}" r:id="rId1" ax:persistence="persistStreamInit"/>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drawings/_rels/vmlDrawing1.v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676275</xdr:colOff>
          <xdr:row>4</xdr:row>
          <xdr:rowOff>19050</xdr:rowOff>
        </xdr:from>
        <xdr:to>
          <xdr:col>1</xdr:col>
          <xdr:colOff>1714500</xdr:colOff>
          <xdr:row>4</xdr:row>
          <xdr:rowOff>1898650</xdr:rowOff>
        </xdr:to>
        <xdr:sp macro="[0]!Sheet2.ButtonA_Click">
          <xdr:nvSpPr>
            <xdr:cNvPr id="1034" name="Button 10" hidden="1">
              <a:extLst>
                <a:ext uri="{63B3BB69-23CF-44E3-9099-C40C66FF867C}">
                  <a14:compatExt spid="_x0000_s1034"/>
                </a:ext>
              </a:extLst>
            </xdr:cNvPr>
            <xdr:cNvSpPr/>
          </xdr:nvSpPr>
          <xdr:spPr>
            <a:xfrm>
              <a:off x="676275" y="1647825"/>
              <a:ext cx="1724025" cy="1879600"/>
            </a:xfrm>
            <a:prstGeom prst="rect">
              <a:avLst/>
            </a:prstGeom>
          </xdr:spPr>
          <xdr:txBody>
            <a:bodyPr vert="horz" wrap="square" lIns="71755" tIns="71755" rIns="71755" bIns="71755" anchor="t" upright="1">
              <a:noAutofit/>
            </a:bodyPr>
            <a:p>
              <a:pPr algn="l"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应拉断路器（开关）和隔离开关（刀闸）（注明编号）</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19050</xdr:rowOff>
        </xdr:from>
        <xdr:to>
          <xdr:col>2</xdr:col>
          <xdr:colOff>1724025</xdr:colOff>
          <xdr:row>4</xdr:row>
          <xdr:rowOff>1898650</xdr:rowOff>
        </xdr:to>
        <xdr:sp macro="[0]!Sheet2.ButtonB_Click">
          <xdr:nvSpPr>
            <xdr:cNvPr id="1035" name="Button 11" hidden="1">
              <a:extLst>
                <a:ext uri="{63B3BB69-23CF-44E3-9099-C40C66FF867C}">
                  <a14:compatExt spid="_x0000_s1035"/>
                </a:ext>
              </a:extLst>
            </xdr:cNvPr>
            <xdr:cNvSpPr/>
          </xdr:nvSpPr>
          <xdr:spPr>
            <a:xfrm>
              <a:off x="2413635" y="1647825"/>
              <a:ext cx="1724025" cy="1879600"/>
            </a:xfrm>
            <a:prstGeom prst="rect">
              <a:avLst/>
            </a:prstGeom>
          </xdr:spPr>
          <xdr:txBody>
            <a:bodyPr vert="horz" wrap="square" lIns="71755" tIns="71755" rIns="71755" bIns="71755" anchor="t"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应合接地刀闸（注明编号）、装接地线（注明确实地点）</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xdr:row>
          <xdr:rowOff>19050</xdr:rowOff>
        </xdr:from>
        <xdr:to>
          <xdr:col>4</xdr:col>
          <xdr:colOff>5715</xdr:colOff>
          <xdr:row>4</xdr:row>
          <xdr:rowOff>1898650</xdr:rowOff>
        </xdr:to>
        <xdr:sp macro="[0]!Sheet2.ButtonC_Click">
          <xdr:nvSpPr>
            <xdr:cNvPr id="1036" name="Button 12" hidden="1">
              <a:extLst>
                <a:ext uri="{63B3BB69-23CF-44E3-9099-C40C66FF867C}">
                  <a14:compatExt spid="_x0000_s1036"/>
                </a:ext>
              </a:extLst>
            </xdr:cNvPr>
            <xdr:cNvSpPr/>
          </xdr:nvSpPr>
          <xdr:spPr>
            <a:xfrm>
              <a:off x="4150995" y="1647825"/>
              <a:ext cx="1724025" cy="1879600"/>
            </a:xfrm>
            <a:prstGeom prst="rect">
              <a:avLst/>
            </a:prstGeom>
          </xdr:spPr>
          <xdr:txBody>
            <a:bodyPr vert="horz" wrap="square" lIns="71755" tIns="71755" rIns="71755" bIns="71755" anchor="t"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应设遮栏、应挂标示牌（注明位置）</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xdr:row>
          <xdr:rowOff>19050</xdr:rowOff>
        </xdr:from>
        <xdr:to>
          <xdr:col>5</xdr:col>
          <xdr:colOff>5715</xdr:colOff>
          <xdr:row>4</xdr:row>
          <xdr:rowOff>1898650</xdr:rowOff>
        </xdr:to>
        <xdr:sp macro="[0]!Sheet2.ButtonD_Click">
          <xdr:nvSpPr>
            <xdr:cNvPr id="1037" name="Button 13" hidden="1">
              <a:extLst>
                <a:ext uri="{63B3BB69-23CF-44E3-9099-C40C66FF867C}">
                  <a14:compatExt spid="_x0000_s1037"/>
                </a:ext>
              </a:extLst>
            </xdr:cNvPr>
            <xdr:cNvSpPr/>
          </xdr:nvSpPr>
          <xdr:spPr>
            <a:xfrm>
              <a:off x="5878830" y="1647825"/>
              <a:ext cx="1724025" cy="1879600"/>
            </a:xfrm>
            <a:prstGeom prst="rect">
              <a:avLst/>
            </a:prstGeom>
          </xdr:spPr>
          <xdr:txBody>
            <a:bodyPr vert="horz" wrap="square" lIns="71755" tIns="71755" rIns="71755" bIns="71755" anchor="t"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保留的带电线路或带电设备（注明确实地点）</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3</xdr:row>
          <xdr:rowOff>38100</xdr:rowOff>
        </xdr:from>
        <xdr:to>
          <xdr:col>6</xdr:col>
          <xdr:colOff>495300</xdr:colOff>
          <xdr:row>3</xdr:row>
          <xdr:rowOff>266700</xdr:rowOff>
        </xdr:to>
        <xdr:sp macro="[0]!Sheet2.ButtonConfirm_Click">
          <xdr:nvSpPr>
            <xdr:cNvPr id="1038" name="Button 14" hidden="1">
              <a:extLst>
                <a:ext uri="{63B3BB69-23CF-44E3-9099-C40C66FF867C}">
                  <a14:compatExt spid="_x0000_s1038"/>
                </a:ext>
              </a:extLst>
            </xdr:cNvPr>
            <xdr:cNvSpPr/>
          </xdr:nvSpPr>
          <xdr:spPr>
            <a:xfrm>
              <a:off x="7740015" y="1349375"/>
              <a:ext cx="1038225" cy="228600"/>
            </a:xfrm>
            <a:prstGeom prst="rect">
              <a:avLst/>
            </a:prstGeom>
          </xdr:spPr>
          <xdr:txBody>
            <a:bodyPr wrap="square" anchor="ctr"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确定</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xdr:row>
          <xdr:rowOff>57150</xdr:rowOff>
        </xdr:from>
        <xdr:to>
          <xdr:col>7</xdr:col>
          <xdr:colOff>647065</xdr:colOff>
          <xdr:row>2</xdr:row>
          <xdr:rowOff>514985</xdr:rowOff>
        </xdr:to>
        <xdr:sp macro="[0]!Sheet2.Pre_Click">
          <xdr:nvSpPr>
            <xdr:cNvPr id="1039" name="Button 15" hidden="1">
              <a:extLst>
                <a:ext uri="{63B3BB69-23CF-44E3-9099-C40C66FF867C}">
                  <a14:compatExt spid="_x0000_s1039"/>
                </a:ext>
              </a:extLst>
            </xdr:cNvPr>
            <xdr:cNvSpPr/>
          </xdr:nvSpPr>
          <xdr:spPr>
            <a:xfrm>
              <a:off x="9016365" y="466725"/>
              <a:ext cx="599440" cy="457835"/>
            </a:xfrm>
            <a:prstGeom prst="rect">
              <a:avLst/>
            </a:prstGeom>
          </xdr:spPr>
          <xdr:txBody>
            <a:bodyPr wrap="square"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上一题</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37465</xdr:colOff>
          <xdr:row>2</xdr:row>
          <xdr:rowOff>38100</xdr:rowOff>
        </xdr:from>
        <xdr:to>
          <xdr:col>8</xdr:col>
          <xdr:colOff>667385</xdr:colOff>
          <xdr:row>2</xdr:row>
          <xdr:rowOff>542290</xdr:rowOff>
        </xdr:to>
        <xdr:sp macro="[0]!Sheet2.Next_Click">
          <xdr:nvSpPr>
            <xdr:cNvPr id="1040" name="Button 16" hidden="1">
              <a:extLst>
                <a:ext uri="{63B3BB69-23CF-44E3-9099-C40C66FF867C}">
                  <a14:compatExt spid="_x0000_s1040"/>
                </a:ext>
              </a:extLst>
            </xdr:cNvPr>
            <xdr:cNvSpPr/>
          </xdr:nvSpPr>
          <xdr:spPr>
            <a:xfrm>
              <a:off x="9692005" y="447675"/>
              <a:ext cx="629920" cy="504190"/>
            </a:xfrm>
            <a:prstGeom prst="rect">
              <a:avLst/>
            </a:prstGeom>
          </xdr:spPr>
          <xdr:txBody>
            <a:bodyPr wrap="square" anchor="ctr"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下一题</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0</xdr:row>
          <xdr:rowOff>28575</xdr:rowOff>
        </xdr:from>
        <xdr:to>
          <xdr:col>4</xdr:col>
          <xdr:colOff>1619250</xdr:colOff>
          <xdr:row>1</xdr:row>
          <xdr:rowOff>104775</xdr:rowOff>
        </xdr:to>
        <xdr:sp macro="[0]!Sheet2.SwitchShowAnswer">
          <xdr:nvSpPr>
            <xdr:cNvPr id="1041" name="Button 17" hidden="1">
              <a:extLst>
                <a:ext uri="{63B3BB69-23CF-44E3-9099-C40C66FF867C}">
                  <a14:compatExt spid="_x0000_s1041"/>
                </a:ext>
              </a:extLst>
            </xdr:cNvPr>
            <xdr:cNvSpPr/>
          </xdr:nvSpPr>
          <xdr:spPr>
            <a:xfrm>
              <a:off x="6183630" y="28575"/>
              <a:ext cx="1304925" cy="247650"/>
            </a:xfrm>
            <a:prstGeom prst="rect">
              <a:avLst/>
            </a:prstGeom>
          </xdr:spPr>
          <xdr:txBody>
            <a:bodyPr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显示/隐藏答案</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3</xdr:row>
          <xdr:rowOff>28575</xdr:rowOff>
        </xdr:from>
        <xdr:to>
          <xdr:col>9</xdr:col>
          <xdr:colOff>257175</xdr:colOff>
          <xdr:row>3</xdr:row>
          <xdr:rowOff>257175</xdr:rowOff>
        </xdr:to>
        <xdr:sp>
          <xdr:nvSpPr>
            <xdr:cNvPr id="1043" name="CheckBox1" hidden="1">
              <a:extLst>
                <a:ext uri="{63B3BB69-23CF-44E3-9099-C40C66FF867C}">
                  <a14:compatExt spid="_x0000_s1043"/>
                </a:ext>
              </a:extLst>
            </xdr:cNvPr>
            <xdr:cNvSpPr/>
          </xdr:nvSpPr>
          <xdr:spPr>
            <a:xfrm>
              <a:off x="9102090" y="1339850"/>
              <a:ext cx="1495425" cy="22860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66675</xdr:rowOff>
        </xdr:from>
        <xdr:to>
          <xdr:col>8</xdr:col>
          <xdr:colOff>295275</xdr:colOff>
          <xdr:row>1</xdr:row>
          <xdr:rowOff>95250</xdr:rowOff>
        </xdr:to>
        <xdr:sp>
          <xdr:nvSpPr>
            <xdr:cNvPr id="1048" name="OptionButton1" hidden="1">
              <a:extLst>
                <a:ext uri="{63B3BB69-23CF-44E3-9099-C40C66FF867C}">
                  <a14:compatExt spid="_x0000_s1048"/>
                </a:ext>
              </a:extLst>
            </xdr:cNvPr>
            <xdr:cNvSpPr/>
          </xdr:nvSpPr>
          <xdr:spPr>
            <a:xfrm>
              <a:off x="9035415" y="66675"/>
              <a:ext cx="914400" cy="2000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381000</xdr:colOff>
          <xdr:row>0</xdr:row>
          <xdr:rowOff>66675</xdr:rowOff>
        </xdr:from>
        <xdr:to>
          <xdr:col>9</xdr:col>
          <xdr:colOff>609600</xdr:colOff>
          <xdr:row>1</xdr:row>
          <xdr:rowOff>95250</xdr:rowOff>
        </xdr:to>
        <xdr:sp>
          <xdr:nvSpPr>
            <xdr:cNvPr id="1049" name="OptionButton2" hidden="1">
              <a:extLst>
                <a:ext uri="{63B3BB69-23CF-44E3-9099-C40C66FF867C}">
                  <a14:compatExt spid="_x0000_s1049"/>
                </a:ext>
              </a:extLst>
            </xdr:cNvPr>
            <xdr:cNvSpPr/>
          </xdr:nvSpPr>
          <xdr:spPr>
            <a:xfrm>
              <a:off x="10035540" y="66675"/>
              <a:ext cx="914400" cy="2000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0</xdr:row>
          <xdr:rowOff>66675</xdr:rowOff>
        </xdr:from>
        <xdr:to>
          <xdr:col>11</xdr:col>
          <xdr:colOff>238125</xdr:colOff>
          <xdr:row>1</xdr:row>
          <xdr:rowOff>95250</xdr:rowOff>
        </xdr:to>
        <xdr:sp>
          <xdr:nvSpPr>
            <xdr:cNvPr id="1050" name="OptionButton3" hidden="1">
              <a:extLst>
                <a:ext uri="{63B3BB69-23CF-44E3-9099-C40C66FF867C}">
                  <a14:compatExt spid="_x0000_s1050"/>
                </a:ext>
              </a:extLst>
            </xdr:cNvPr>
            <xdr:cNvSpPr/>
          </xdr:nvSpPr>
          <xdr:spPr>
            <a:xfrm>
              <a:off x="11035665" y="66675"/>
              <a:ext cx="914400" cy="200025"/>
            </a:xfrm>
            <a:prstGeom prst="rect">
              <a:avLst/>
            </a:prstGeom>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2.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8" Type="http://schemas.openxmlformats.org/officeDocument/2006/relationships/ctrlProp" Target="../ctrlProps/ctrlProp12.xml"/><Relationship Id="rId17" Type="http://schemas.openxmlformats.org/officeDocument/2006/relationships/ctrlProp" Target="../ctrlProps/ctrlProp11.xml"/><Relationship Id="rId16" Type="http://schemas.openxmlformats.org/officeDocument/2006/relationships/ctrlProp" Target="../ctrlProps/ctrlProp10.xml"/><Relationship Id="rId15" Type="http://schemas.openxmlformats.org/officeDocument/2006/relationships/ctrlProp" Target="../ctrlProps/ctrlProp9.xml"/><Relationship Id="rId14" Type="http://schemas.openxmlformats.org/officeDocument/2006/relationships/ctrlProp" Target="../ctrlProps/ctrlProp8.xml"/><Relationship Id="rId13" Type="http://schemas.openxmlformats.org/officeDocument/2006/relationships/ctrlProp" Target="../ctrlProps/ctrlProp7.xml"/><Relationship Id="rId12" Type="http://schemas.openxmlformats.org/officeDocument/2006/relationships/ctrlProp" Target="../ctrlProps/ctrlProp6.xml"/><Relationship Id="rId11" Type="http://schemas.openxmlformats.org/officeDocument/2006/relationships/ctrlProp" Target="../ctrlProps/ctrlProp5.xml"/><Relationship Id="rId10" Type="http://schemas.openxmlformats.org/officeDocument/2006/relationships/image" Target="../media/image4.wmf"/><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L193"/>
  <sheetViews>
    <sheetView topLeftCell="B16" workbookViewId="0">
      <selection activeCell="K41" sqref="K41"/>
    </sheetView>
  </sheetViews>
  <sheetFormatPr defaultColWidth="9" defaultRowHeight="13.5"/>
  <cols>
    <col min="1" max="1" width="6" customWidth="1"/>
    <col min="2" max="2" width="13.875" customWidth="1"/>
    <col min="4" max="4" width="53.25" customWidth="1"/>
    <col min="5" max="8" width="15.25" customWidth="1"/>
    <col min="9" max="9" width="8.75" customWidth="1"/>
    <col min="10" max="10" width="11.625" customWidth="1"/>
  </cols>
  <sheetData>
    <row r="1" ht="32" customHeight="1" spans="1:10">
      <c r="A1" s="17" t="s">
        <v>0</v>
      </c>
      <c r="B1" s="17"/>
      <c r="C1" s="17"/>
      <c r="D1" s="17"/>
      <c r="E1" s="17"/>
      <c r="F1" s="17"/>
      <c r="G1" s="17"/>
      <c r="H1" s="17"/>
      <c r="I1" s="17"/>
      <c r="J1" s="17"/>
    </row>
    <row r="2" ht="28.5" spans="1:12">
      <c r="A2" s="18" t="s">
        <v>1</v>
      </c>
      <c r="B2" s="18" t="s">
        <v>2</v>
      </c>
      <c r="C2" s="18" t="s">
        <v>3</v>
      </c>
      <c r="D2" s="18" t="s">
        <v>4</v>
      </c>
      <c r="E2" s="18" t="s">
        <v>5</v>
      </c>
      <c r="F2" s="18" t="s">
        <v>6</v>
      </c>
      <c r="G2" s="18" t="s">
        <v>7</v>
      </c>
      <c r="H2" s="18" t="s">
        <v>8</v>
      </c>
      <c r="I2" s="18" t="s">
        <v>9</v>
      </c>
      <c r="J2" s="18" t="s">
        <v>10</v>
      </c>
      <c r="K2" t="s">
        <v>11</v>
      </c>
      <c r="L2" t="s">
        <v>12</v>
      </c>
    </row>
    <row r="3" ht="24" spans="1:12">
      <c r="A3" s="19">
        <v>1</v>
      </c>
      <c r="B3" s="19" t="s">
        <v>13</v>
      </c>
      <c r="C3" s="19" t="s">
        <v>14</v>
      </c>
      <c r="D3" s="20" t="s">
        <v>15</v>
      </c>
      <c r="E3" s="21" t="s">
        <v>16</v>
      </c>
      <c r="F3" s="21" t="s">
        <v>17</v>
      </c>
      <c r="G3" s="21" t="s">
        <v>18</v>
      </c>
      <c r="H3" s="21" t="s">
        <v>19</v>
      </c>
      <c r="I3" s="21" t="s">
        <v>8</v>
      </c>
      <c r="J3" s="21">
        <v>3.1</v>
      </c>
      <c r="L3">
        <v>1</v>
      </c>
    </row>
    <row r="4" ht="24" spans="1:12">
      <c r="A4" s="19">
        <v>2</v>
      </c>
      <c r="B4" s="19" t="s">
        <v>13</v>
      </c>
      <c r="C4" s="19" t="s">
        <v>14</v>
      </c>
      <c r="D4" s="20" t="s">
        <v>20</v>
      </c>
      <c r="E4" s="21" t="s">
        <v>19</v>
      </c>
      <c r="F4" s="21" t="s">
        <v>21</v>
      </c>
      <c r="G4" s="21" t="s">
        <v>22</v>
      </c>
      <c r="H4" s="21" t="s">
        <v>23</v>
      </c>
      <c r="I4" s="21" t="s">
        <v>5</v>
      </c>
      <c r="J4" s="21">
        <v>3.2</v>
      </c>
      <c r="L4">
        <v>1</v>
      </c>
    </row>
    <row r="5" ht="24" spans="1:12">
      <c r="A5" s="19">
        <v>3</v>
      </c>
      <c r="B5" s="19" t="s">
        <v>13</v>
      </c>
      <c r="C5" s="19" t="s">
        <v>14</v>
      </c>
      <c r="D5" s="20" t="s">
        <v>24</v>
      </c>
      <c r="E5" s="21" t="s">
        <v>25</v>
      </c>
      <c r="F5" s="21" t="s">
        <v>26</v>
      </c>
      <c r="G5" s="21" t="s">
        <v>27</v>
      </c>
      <c r="H5" s="21" t="s">
        <v>28</v>
      </c>
      <c r="I5" s="21" t="s">
        <v>8</v>
      </c>
      <c r="J5" s="21">
        <v>3.22</v>
      </c>
      <c r="K5" s="22">
        <v>1</v>
      </c>
      <c r="L5">
        <v>2</v>
      </c>
    </row>
    <row r="6" ht="24" spans="1:12">
      <c r="A6" s="19">
        <v>4</v>
      </c>
      <c r="B6" s="19" t="s">
        <v>13</v>
      </c>
      <c r="C6" s="19" t="s">
        <v>14</v>
      </c>
      <c r="D6" s="20" t="s">
        <v>29</v>
      </c>
      <c r="E6" s="21" t="s">
        <v>30</v>
      </c>
      <c r="F6" s="21" t="s">
        <v>31</v>
      </c>
      <c r="G6" s="21" t="s">
        <v>32</v>
      </c>
      <c r="H6" s="21" t="s">
        <v>33</v>
      </c>
      <c r="I6" s="21" t="s">
        <v>5</v>
      </c>
      <c r="J6" s="21">
        <v>3.25</v>
      </c>
      <c r="L6">
        <v>1</v>
      </c>
    </row>
    <row r="7" ht="24" spans="1:12">
      <c r="A7" s="19">
        <v>5</v>
      </c>
      <c r="B7" s="19" t="s">
        <v>13</v>
      </c>
      <c r="C7" s="19" t="s">
        <v>14</v>
      </c>
      <c r="D7" s="20" t="s">
        <v>34</v>
      </c>
      <c r="E7" s="21" t="s">
        <v>35</v>
      </c>
      <c r="F7" s="21" t="s">
        <v>36</v>
      </c>
      <c r="G7" s="21" t="s">
        <v>37</v>
      </c>
      <c r="H7" s="21" t="s">
        <v>38</v>
      </c>
      <c r="I7" s="21" t="s">
        <v>6</v>
      </c>
      <c r="J7" s="21">
        <v>3.27</v>
      </c>
      <c r="L7">
        <v>1</v>
      </c>
    </row>
    <row r="8" ht="24" spans="1:12">
      <c r="A8" s="19">
        <v>6</v>
      </c>
      <c r="B8" s="19" t="s">
        <v>13</v>
      </c>
      <c r="C8" s="19" t="s">
        <v>14</v>
      </c>
      <c r="D8" s="20" t="s">
        <v>39</v>
      </c>
      <c r="E8" s="21" t="s">
        <v>40</v>
      </c>
      <c r="F8" s="21" t="s">
        <v>41</v>
      </c>
      <c r="G8" s="21" t="s">
        <v>42</v>
      </c>
      <c r="H8" s="21" t="s">
        <v>43</v>
      </c>
      <c r="I8" s="21" t="s">
        <v>7</v>
      </c>
      <c r="J8" s="21">
        <v>4.2</v>
      </c>
      <c r="L8">
        <v>1</v>
      </c>
    </row>
    <row r="9" ht="24" spans="1:12">
      <c r="A9" s="19">
        <v>7</v>
      </c>
      <c r="B9" s="19" t="s">
        <v>13</v>
      </c>
      <c r="C9" s="19" t="s">
        <v>14</v>
      </c>
      <c r="D9" s="20" t="s">
        <v>44</v>
      </c>
      <c r="E9" s="21" t="s">
        <v>45</v>
      </c>
      <c r="F9" s="21" t="s">
        <v>46</v>
      </c>
      <c r="G9" s="21" t="s">
        <v>47</v>
      </c>
      <c r="H9" s="21" t="s">
        <v>48</v>
      </c>
      <c r="I9" s="21" t="s">
        <v>8</v>
      </c>
      <c r="J9" s="21" t="s">
        <v>49</v>
      </c>
      <c r="K9" s="22">
        <v>1</v>
      </c>
      <c r="L9">
        <v>1</v>
      </c>
    </row>
    <row r="10" ht="36" spans="1:12">
      <c r="A10" s="19">
        <v>8</v>
      </c>
      <c r="B10" s="19" t="s">
        <v>13</v>
      </c>
      <c r="C10" s="19" t="s">
        <v>14</v>
      </c>
      <c r="D10" s="20" t="s">
        <v>50</v>
      </c>
      <c r="E10" s="21" t="s">
        <v>40</v>
      </c>
      <c r="F10" s="21" t="s">
        <v>51</v>
      </c>
      <c r="G10" s="21" t="s">
        <v>52</v>
      </c>
      <c r="H10" s="21" t="s">
        <v>53</v>
      </c>
      <c r="I10" s="21" t="s">
        <v>8</v>
      </c>
      <c r="J10" s="21" t="s">
        <v>54</v>
      </c>
      <c r="L10">
        <v>1</v>
      </c>
    </row>
    <row r="11" ht="36" spans="1:12">
      <c r="A11" s="19">
        <v>9</v>
      </c>
      <c r="B11" s="19" t="s">
        <v>13</v>
      </c>
      <c r="C11" s="19" t="s">
        <v>14</v>
      </c>
      <c r="D11" s="20" t="s">
        <v>55</v>
      </c>
      <c r="E11" s="21" t="s">
        <v>36</v>
      </c>
      <c r="F11" s="21" t="s">
        <v>37</v>
      </c>
      <c r="G11" s="21" t="s">
        <v>38</v>
      </c>
      <c r="H11" s="21" t="s">
        <v>56</v>
      </c>
      <c r="I11" s="21" t="s">
        <v>6</v>
      </c>
      <c r="J11" s="21" t="s">
        <v>57</v>
      </c>
      <c r="L11">
        <v>1</v>
      </c>
    </row>
    <row r="12" ht="24" spans="1:12">
      <c r="A12" s="19">
        <v>10</v>
      </c>
      <c r="B12" s="19" t="s">
        <v>13</v>
      </c>
      <c r="C12" s="19" t="s">
        <v>14</v>
      </c>
      <c r="D12" s="20" t="s">
        <v>58</v>
      </c>
      <c r="E12" s="21" t="s">
        <v>59</v>
      </c>
      <c r="F12" s="21" t="s">
        <v>60</v>
      </c>
      <c r="G12" s="21" t="s">
        <v>61</v>
      </c>
      <c r="H12" s="21" t="s">
        <v>62</v>
      </c>
      <c r="I12" s="21" t="s">
        <v>7</v>
      </c>
      <c r="J12" s="21" t="s">
        <v>63</v>
      </c>
      <c r="L12">
        <v>1</v>
      </c>
    </row>
    <row r="13" ht="24" spans="1:12">
      <c r="A13" s="19">
        <v>11</v>
      </c>
      <c r="B13" s="19" t="s">
        <v>13</v>
      </c>
      <c r="C13" s="19" t="s">
        <v>14</v>
      </c>
      <c r="D13" s="20" t="s">
        <v>64</v>
      </c>
      <c r="E13" s="21" t="s">
        <v>65</v>
      </c>
      <c r="F13" s="21" t="s">
        <v>66</v>
      </c>
      <c r="G13" s="21" t="s">
        <v>67</v>
      </c>
      <c r="H13" s="21" t="s">
        <v>68</v>
      </c>
      <c r="I13" s="21" t="s">
        <v>5</v>
      </c>
      <c r="J13" s="21" t="s">
        <v>69</v>
      </c>
      <c r="L13">
        <v>1</v>
      </c>
    </row>
    <row r="14" ht="24" spans="1:12">
      <c r="A14" s="19">
        <v>12</v>
      </c>
      <c r="B14" s="19" t="s">
        <v>13</v>
      </c>
      <c r="C14" s="19" t="s">
        <v>14</v>
      </c>
      <c r="D14" s="20" t="s">
        <v>70</v>
      </c>
      <c r="E14" s="21" t="s">
        <v>71</v>
      </c>
      <c r="F14" s="21" t="s">
        <v>72</v>
      </c>
      <c r="G14" s="21" t="s">
        <v>73</v>
      </c>
      <c r="H14" s="21" t="s">
        <v>74</v>
      </c>
      <c r="I14" s="21" t="s">
        <v>7</v>
      </c>
      <c r="J14" s="21" t="s">
        <v>75</v>
      </c>
      <c r="L14">
        <v>1</v>
      </c>
    </row>
    <row r="15" ht="36" spans="1:12">
      <c r="A15" s="19">
        <v>13</v>
      </c>
      <c r="B15" s="19" t="s">
        <v>13</v>
      </c>
      <c r="C15" s="19" t="s">
        <v>14</v>
      </c>
      <c r="D15" s="20" t="s">
        <v>76</v>
      </c>
      <c r="E15" s="21" t="s">
        <v>77</v>
      </c>
      <c r="F15" s="21" t="s">
        <v>78</v>
      </c>
      <c r="G15" s="21" t="s">
        <v>79</v>
      </c>
      <c r="H15" s="21" t="s">
        <v>80</v>
      </c>
      <c r="I15" s="21" t="s">
        <v>8</v>
      </c>
      <c r="J15" s="21" t="s">
        <v>81</v>
      </c>
      <c r="L15">
        <v>1</v>
      </c>
    </row>
    <row r="16" ht="24" spans="1:12">
      <c r="A16" s="19">
        <v>14</v>
      </c>
      <c r="B16" s="19" t="s">
        <v>13</v>
      </c>
      <c r="C16" s="19" t="s">
        <v>14</v>
      </c>
      <c r="D16" s="20" t="s">
        <v>82</v>
      </c>
      <c r="E16" s="21" t="s">
        <v>83</v>
      </c>
      <c r="F16" s="21" t="s">
        <v>84</v>
      </c>
      <c r="G16" s="21" t="s">
        <v>85</v>
      </c>
      <c r="H16" s="21" t="s">
        <v>86</v>
      </c>
      <c r="I16" s="21" t="s">
        <v>7</v>
      </c>
      <c r="J16" s="21" t="s">
        <v>87</v>
      </c>
      <c r="K16" s="22">
        <v>1</v>
      </c>
      <c r="L16">
        <v>2</v>
      </c>
    </row>
    <row r="17" ht="24" spans="1:12">
      <c r="A17" s="19">
        <v>15</v>
      </c>
      <c r="B17" s="19" t="s">
        <v>13</v>
      </c>
      <c r="C17" s="19" t="s">
        <v>14</v>
      </c>
      <c r="D17" s="20" t="s">
        <v>88</v>
      </c>
      <c r="E17" s="21" t="s">
        <v>83</v>
      </c>
      <c r="F17" s="21" t="s">
        <v>89</v>
      </c>
      <c r="G17" s="21" t="s">
        <v>86</v>
      </c>
      <c r="H17" s="21" t="s">
        <v>60</v>
      </c>
      <c r="I17" s="21" t="s">
        <v>7</v>
      </c>
      <c r="J17" s="21" t="s">
        <v>90</v>
      </c>
      <c r="L17">
        <v>1</v>
      </c>
    </row>
    <row r="18" ht="24" spans="1:12">
      <c r="A18" s="19">
        <v>16</v>
      </c>
      <c r="B18" s="19" t="s">
        <v>13</v>
      </c>
      <c r="C18" s="19" t="s">
        <v>14</v>
      </c>
      <c r="D18" s="20" t="s">
        <v>91</v>
      </c>
      <c r="E18" s="21" t="s">
        <v>92</v>
      </c>
      <c r="F18" s="21" t="s">
        <v>83</v>
      </c>
      <c r="G18" s="21" t="s">
        <v>59</v>
      </c>
      <c r="H18" s="21" t="s">
        <v>60</v>
      </c>
      <c r="I18" s="21" t="s">
        <v>8</v>
      </c>
      <c r="J18" s="21" t="s">
        <v>93</v>
      </c>
      <c r="L18">
        <v>1</v>
      </c>
    </row>
    <row r="19" ht="24" spans="1:12">
      <c r="A19" s="19">
        <v>17</v>
      </c>
      <c r="B19" s="19" t="s">
        <v>13</v>
      </c>
      <c r="C19" s="19" t="s">
        <v>14</v>
      </c>
      <c r="D19" s="20" t="s">
        <v>94</v>
      </c>
      <c r="E19" s="21" t="s">
        <v>92</v>
      </c>
      <c r="F19" s="21" t="s">
        <v>83</v>
      </c>
      <c r="G19" s="21" t="s">
        <v>59</v>
      </c>
      <c r="H19" s="21" t="s">
        <v>60</v>
      </c>
      <c r="I19" s="21" t="s">
        <v>8</v>
      </c>
      <c r="J19" s="21" t="s">
        <v>93</v>
      </c>
      <c r="L19">
        <v>1</v>
      </c>
    </row>
    <row r="20" ht="24" spans="1:12">
      <c r="A20" s="19">
        <v>18</v>
      </c>
      <c r="B20" s="19" t="s">
        <v>13</v>
      </c>
      <c r="C20" s="19" t="s">
        <v>14</v>
      </c>
      <c r="D20" s="20" t="s">
        <v>95</v>
      </c>
      <c r="E20" s="21" t="s">
        <v>92</v>
      </c>
      <c r="F20" s="21" t="s">
        <v>86</v>
      </c>
      <c r="G20" s="21" t="s">
        <v>60</v>
      </c>
      <c r="H20" s="21" t="s">
        <v>89</v>
      </c>
      <c r="I20" s="21" t="s">
        <v>8</v>
      </c>
      <c r="J20" s="21" t="s">
        <v>96</v>
      </c>
      <c r="L20">
        <v>1</v>
      </c>
    </row>
    <row r="21" ht="24" spans="1:12">
      <c r="A21" s="19">
        <v>19</v>
      </c>
      <c r="B21" s="19" t="s">
        <v>13</v>
      </c>
      <c r="C21" s="19" t="s">
        <v>14</v>
      </c>
      <c r="D21" s="20" t="s">
        <v>97</v>
      </c>
      <c r="E21" s="21" t="s">
        <v>43</v>
      </c>
      <c r="F21" s="21" t="s">
        <v>98</v>
      </c>
      <c r="G21" s="21" t="s">
        <v>99</v>
      </c>
      <c r="H21" s="21" t="s">
        <v>100</v>
      </c>
      <c r="I21" s="21" t="s">
        <v>7</v>
      </c>
      <c r="J21" s="21" t="s">
        <v>101</v>
      </c>
      <c r="L21">
        <v>1</v>
      </c>
    </row>
    <row r="22" ht="24" spans="1:12">
      <c r="A22" s="19">
        <v>20</v>
      </c>
      <c r="B22" s="19" t="s">
        <v>13</v>
      </c>
      <c r="C22" s="19" t="s">
        <v>14</v>
      </c>
      <c r="D22" s="20" t="s">
        <v>102</v>
      </c>
      <c r="E22" s="21" t="s">
        <v>92</v>
      </c>
      <c r="F22" s="21" t="s">
        <v>83</v>
      </c>
      <c r="G22" s="21" t="s">
        <v>59</v>
      </c>
      <c r="H22" s="21" t="s">
        <v>60</v>
      </c>
      <c r="I22" s="21" t="s">
        <v>7</v>
      </c>
      <c r="J22" s="21" t="s">
        <v>103</v>
      </c>
      <c r="L22">
        <v>1</v>
      </c>
    </row>
    <row r="23" ht="24" spans="1:12">
      <c r="A23" s="19">
        <v>21</v>
      </c>
      <c r="B23" s="19" t="s">
        <v>13</v>
      </c>
      <c r="C23" s="19" t="s">
        <v>14</v>
      </c>
      <c r="D23" s="20" t="s">
        <v>104</v>
      </c>
      <c r="E23" s="21" t="s">
        <v>86</v>
      </c>
      <c r="F23" s="21" t="s">
        <v>60</v>
      </c>
      <c r="G23" s="21" t="s">
        <v>83</v>
      </c>
      <c r="H23" s="21" t="s">
        <v>59</v>
      </c>
      <c r="I23" s="21" t="s">
        <v>8</v>
      </c>
      <c r="J23" s="21" t="s">
        <v>105</v>
      </c>
      <c r="L23">
        <v>1</v>
      </c>
    </row>
    <row r="24" ht="24" spans="1:12">
      <c r="A24" s="19">
        <v>22</v>
      </c>
      <c r="B24" s="19" t="s">
        <v>13</v>
      </c>
      <c r="C24" s="19" t="s">
        <v>14</v>
      </c>
      <c r="D24" s="20" t="s">
        <v>106</v>
      </c>
      <c r="E24" s="21" t="s">
        <v>107</v>
      </c>
      <c r="F24" s="21" t="s">
        <v>108</v>
      </c>
      <c r="G24" s="21" t="s">
        <v>109</v>
      </c>
      <c r="H24" s="21" t="s">
        <v>110</v>
      </c>
      <c r="I24" s="21" t="s">
        <v>6</v>
      </c>
      <c r="J24" s="21" t="s">
        <v>111</v>
      </c>
      <c r="L24">
        <v>1</v>
      </c>
    </row>
    <row r="25" ht="36" spans="1:12">
      <c r="A25" s="19">
        <v>23</v>
      </c>
      <c r="B25" s="19" t="s">
        <v>13</v>
      </c>
      <c r="C25" s="19" t="s">
        <v>14</v>
      </c>
      <c r="D25" s="20" t="s">
        <v>112</v>
      </c>
      <c r="E25" s="21" t="s">
        <v>113</v>
      </c>
      <c r="F25" s="21" t="s">
        <v>114</v>
      </c>
      <c r="G25" s="21" t="s">
        <v>115</v>
      </c>
      <c r="H25" s="21" t="s">
        <v>116</v>
      </c>
      <c r="I25" s="21" t="s">
        <v>8</v>
      </c>
      <c r="J25" s="21" t="s">
        <v>117</v>
      </c>
      <c r="K25" s="22">
        <v>1</v>
      </c>
      <c r="L25">
        <v>2</v>
      </c>
    </row>
    <row r="26" ht="24" spans="1:12">
      <c r="A26" s="19">
        <v>24</v>
      </c>
      <c r="B26" s="19" t="s">
        <v>13</v>
      </c>
      <c r="C26" s="19" t="s">
        <v>14</v>
      </c>
      <c r="D26" s="20" t="s">
        <v>118</v>
      </c>
      <c r="E26" s="21" t="s">
        <v>119</v>
      </c>
      <c r="F26" s="21" t="s">
        <v>120</v>
      </c>
      <c r="G26" s="21" t="s">
        <v>121</v>
      </c>
      <c r="H26" s="21" t="s">
        <v>122</v>
      </c>
      <c r="I26" s="21" t="s">
        <v>5</v>
      </c>
      <c r="J26" s="21" t="s">
        <v>123</v>
      </c>
      <c r="L26">
        <v>1</v>
      </c>
    </row>
    <row r="27" ht="24" spans="1:12">
      <c r="A27" s="19">
        <v>25</v>
      </c>
      <c r="B27" s="19" t="s">
        <v>13</v>
      </c>
      <c r="C27" s="19" t="s">
        <v>14</v>
      </c>
      <c r="D27" s="20" t="s">
        <v>124</v>
      </c>
      <c r="E27" s="21" t="s">
        <v>119</v>
      </c>
      <c r="F27" s="21" t="s">
        <v>120</v>
      </c>
      <c r="G27" s="21" t="s">
        <v>121</v>
      </c>
      <c r="H27" s="21" t="s">
        <v>122</v>
      </c>
      <c r="I27" s="21" t="s">
        <v>6</v>
      </c>
      <c r="J27" s="21" t="s">
        <v>125</v>
      </c>
      <c r="K27" s="22">
        <v>1</v>
      </c>
      <c r="L27">
        <v>2</v>
      </c>
    </row>
    <row r="28" ht="24" spans="1:12">
      <c r="A28" s="19">
        <v>26</v>
      </c>
      <c r="B28" s="19" t="s">
        <v>13</v>
      </c>
      <c r="C28" s="19" t="s">
        <v>14</v>
      </c>
      <c r="D28" s="20" t="s">
        <v>126</v>
      </c>
      <c r="E28" s="21" t="s">
        <v>122</v>
      </c>
      <c r="F28" s="21" t="s">
        <v>119</v>
      </c>
      <c r="G28" s="21" t="s">
        <v>120</v>
      </c>
      <c r="H28" s="21" t="s">
        <v>121</v>
      </c>
      <c r="I28" s="21" t="s">
        <v>8</v>
      </c>
      <c r="J28" s="21" t="s">
        <v>127</v>
      </c>
      <c r="L28">
        <v>1</v>
      </c>
    </row>
    <row r="29" ht="36" spans="1:12">
      <c r="A29" s="19">
        <v>27</v>
      </c>
      <c r="B29" s="19" t="s">
        <v>13</v>
      </c>
      <c r="C29" s="19" t="s">
        <v>14</v>
      </c>
      <c r="D29" s="20" t="s">
        <v>128</v>
      </c>
      <c r="E29" s="21" t="s">
        <v>129</v>
      </c>
      <c r="F29" s="21" t="s">
        <v>130</v>
      </c>
      <c r="G29" s="21" t="s">
        <v>131</v>
      </c>
      <c r="H29" s="21" t="s">
        <v>132</v>
      </c>
      <c r="I29" s="21" t="s">
        <v>8</v>
      </c>
      <c r="J29" s="21" t="s">
        <v>133</v>
      </c>
      <c r="K29" s="22">
        <v>1</v>
      </c>
      <c r="L29">
        <v>2</v>
      </c>
    </row>
    <row r="30" ht="36" spans="1:12">
      <c r="A30" s="19">
        <v>28</v>
      </c>
      <c r="B30" s="19" t="s">
        <v>13</v>
      </c>
      <c r="C30" s="19" t="s">
        <v>14</v>
      </c>
      <c r="D30" s="20" t="s">
        <v>134</v>
      </c>
      <c r="E30" s="21" t="s">
        <v>86</v>
      </c>
      <c r="F30" s="21" t="s">
        <v>60</v>
      </c>
      <c r="G30" s="21" t="s">
        <v>59</v>
      </c>
      <c r="H30" s="21" t="s">
        <v>83</v>
      </c>
      <c r="I30" s="21" t="s">
        <v>8</v>
      </c>
      <c r="J30" s="21" t="s">
        <v>135</v>
      </c>
      <c r="L30">
        <v>1</v>
      </c>
    </row>
    <row r="31" ht="36" spans="1:12">
      <c r="A31" s="19">
        <v>29</v>
      </c>
      <c r="B31" s="19" t="s">
        <v>13</v>
      </c>
      <c r="C31" s="19" t="s">
        <v>14</v>
      </c>
      <c r="D31" s="20" t="s">
        <v>136</v>
      </c>
      <c r="E31" s="21" t="s">
        <v>86</v>
      </c>
      <c r="F31" s="21" t="s">
        <v>60</v>
      </c>
      <c r="G31" s="21" t="s">
        <v>59</v>
      </c>
      <c r="H31" s="21" t="s">
        <v>83</v>
      </c>
      <c r="I31" s="21" t="s">
        <v>5</v>
      </c>
      <c r="J31" s="21" t="s">
        <v>137</v>
      </c>
      <c r="L31">
        <v>1</v>
      </c>
    </row>
    <row r="32" ht="24" spans="1:12">
      <c r="A32" s="19">
        <v>30</v>
      </c>
      <c r="B32" s="19" t="s">
        <v>13</v>
      </c>
      <c r="C32" s="19" t="s">
        <v>14</v>
      </c>
      <c r="D32" s="20" t="s">
        <v>138</v>
      </c>
      <c r="E32" s="21" t="s">
        <v>86</v>
      </c>
      <c r="F32" s="21" t="s">
        <v>60</v>
      </c>
      <c r="G32" s="21" t="s">
        <v>59</v>
      </c>
      <c r="H32" s="21" t="s">
        <v>83</v>
      </c>
      <c r="I32" s="21" t="s">
        <v>5</v>
      </c>
      <c r="J32" s="21" t="s">
        <v>139</v>
      </c>
      <c r="K32" s="22">
        <v>1</v>
      </c>
      <c r="L32">
        <v>2</v>
      </c>
    </row>
    <row r="33" ht="36" spans="1:12">
      <c r="A33" s="19">
        <v>31</v>
      </c>
      <c r="B33" s="19" t="s">
        <v>13</v>
      </c>
      <c r="C33" s="19" t="s">
        <v>14</v>
      </c>
      <c r="D33" s="20" t="s">
        <v>140</v>
      </c>
      <c r="E33" s="21" t="s">
        <v>86</v>
      </c>
      <c r="F33" s="21" t="s">
        <v>60</v>
      </c>
      <c r="G33" s="21" t="s">
        <v>59</v>
      </c>
      <c r="H33" s="21" t="s">
        <v>83</v>
      </c>
      <c r="I33" s="21" t="s">
        <v>6</v>
      </c>
      <c r="J33" s="21" t="s">
        <v>141</v>
      </c>
      <c r="L33">
        <v>1</v>
      </c>
    </row>
    <row r="34" ht="24" spans="1:12">
      <c r="A34" s="19">
        <v>32</v>
      </c>
      <c r="B34" s="19" t="s">
        <v>13</v>
      </c>
      <c r="C34" s="19" t="s">
        <v>14</v>
      </c>
      <c r="D34" s="20" t="s">
        <v>142</v>
      </c>
      <c r="E34" s="21" t="s">
        <v>83</v>
      </c>
      <c r="F34" s="21" t="s">
        <v>143</v>
      </c>
      <c r="G34" s="21" t="s">
        <v>144</v>
      </c>
      <c r="H34" s="21" t="s">
        <v>143</v>
      </c>
      <c r="I34" s="21" t="s">
        <v>5</v>
      </c>
      <c r="J34" s="21" t="s">
        <v>145</v>
      </c>
      <c r="L34">
        <v>1</v>
      </c>
    </row>
    <row r="35" ht="24" spans="1:12">
      <c r="A35" s="19">
        <v>33</v>
      </c>
      <c r="B35" s="19" t="s">
        <v>13</v>
      </c>
      <c r="C35" s="19" t="s">
        <v>14</v>
      </c>
      <c r="D35" s="20" t="s">
        <v>146</v>
      </c>
      <c r="E35" s="21">
        <v>3</v>
      </c>
      <c r="F35" s="21">
        <v>5</v>
      </c>
      <c r="G35" s="21">
        <v>6</v>
      </c>
      <c r="H35" s="21">
        <v>8</v>
      </c>
      <c r="I35" s="21" t="s">
        <v>7</v>
      </c>
      <c r="J35" s="21" t="s">
        <v>147</v>
      </c>
      <c r="K35" s="22">
        <v>1</v>
      </c>
      <c r="L35">
        <v>2</v>
      </c>
    </row>
    <row r="36" ht="24" spans="1:12">
      <c r="A36" s="19">
        <v>34</v>
      </c>
      <c r="B36" s="19" t="s">
        <v>13</v>
      </c>
      <c r="C36" s="19" t="s">
        <v>14</v>
      </c>
      <c r="D36" s="20" t="s">
        <v>148</v>
      </c>
      <c r="E36" s="21">
        <v>0.7</v>
      </c>
      <c r="F36" s="21">
        <v>1</v>
      </c>
      <c r="G36" s="21">
        <v>2</v>
      </c>
      <c r="H36" s="21">
        <v>3</v>
      </c>
      <c r="I36" s="21" t="s">
        <v>8</v>
      </c>
      <c r="J36" s="21" t="s">
        <v>149</v>
      </c>
      <c r="L36">
        <v>1</v>
      </c>
    </row>
    <row r="37" ht="24" spans="1:12">
      <c r="A37" s="19">
        <v>1</v>
      </c>
      <c r="B37" s="19" t="s">
        <v>13</v>
      </c>
      <c r="C37" s="19" t="s">
        <v>150</v>
      </c>
      <c r="D37" s="20" t="s">
        <v>151</v>
      </c>
      <c r="E37" s="21" t="s">
        <v>19</v>
      </c>
      <c r="F37" s="21" t="s">
        <v>152</v>
      </c>
      <c r="G37" s="21" t="s">
        <v>22</v>
      </c>
      <c r="H37" s="21" t="s">
        <v>23</v>
      </c>
      <c r="I37" s="21" t="s">
        <v>153</v>
      </c>
      <c r="J37" s="21" t="s">
        <v>154</v>
      </c>
      <c r="K37" s="22">
        <v>1</v>
      </c>
      <c r="L37">
        <v>1</v>
      </c>
    </row>
    <row r="38" ht="48" spans="1:12">
      <c r="A38" s="19">
        <v>2</v>
      </c>
      <c r="B38" s="19" t="s">
        <v>13</v>
      </c>
      <c r="C38" s="19" t="s">
        <v>150</v>
      </c>
      <c r="D38" s="20" t="s">
        <v>155</v>
      </c>
      <c r="E38" s="21" t="s">
        <v>156</v>
      </c>
      <c r="F38" s="21" t="s">
        <v>157</v>
      </c>
      <c r="G38" s="21" t="s">
        <v>158</v>
      </c>
      <c r="H38" s="21" t="s">
        <v>159</v>
      </c>
      <c r="I38" s="21" t="s">
        <v>160</v>
      </c>
      <c r="J38" s="21" t="s">
        <v>161</v>
      </c>
      <c r="L38">
        <v>1</v>
      </c>
    </row>
    <row r="39" ht="36" spans="1:12">
      <c r="A39" s="19">
        <v>3</v>
      </c>
      <c r="B39" s="19" t="s">
        <v>13</v>
      </c>
      <c r="C39" s="19" t="s">
        <v>150</v>
      </c>
      <c r="D39" s="20" t="s">
        <v>162</v>
      </c>
      <c r="E39" s="21" t="s">
        <v>163</v>
      </c>
      <c r="F39" s="21" t="s">
        <v>164</v>
      </c>
      <c r="G39" s="21" t="s">
        <v>165</v>
      </c>
      <c r="H39" s="21" t="s">
        <v>166</v>
      </c>
      <c r="I39" s="21" t="s">
        <v>160</v>
      </c>
      <c r="J39" s="21" t="s">
        <v>167</v>
      </c>
      <c r="L39">
        <v>1</v>
      </c>
    </row>
    <row r="40" ht="36" spans="1:12">
      <c r="A40" s="19">
        <v>4</v>
      </c>
      <c r="B40" s="19" t="s">
        <v>13</v>
      </c>
      <c r="C40" s="19" t="s">
        <v>150</v>
      </c>
      <c r="D40" s="20" t="s">
        <v>168</v>
      </c>
      <c r="E40" s="21" t="s">
        <v>163</v>
      </c>
      <c r="F40" s="21" t="s">
        <v>169</v>
      </c>
      <c r="G40" s="21" t="s">
        <v>170</v>
      </c>
      <c r="H40" s="21" t="s">
        <v>171</v>
      </c>
      <c r="I40" s="21" t="s">
        <v>172</v>
      </c>
      <c r="J40" s="21" t="s">
        <v>173</v>
      </c>
      <c r="L40">
        <v>1</v>
      </c>
    </row>
    <row r="41" ht="36" spans="1:12">
      <c r="A41" s="19">
        <v>5</v>
      </c>
      <c r="B41" s="19" t="s">
        <v>13</v>
      </c>
      <c r="C41" s="19" t="s">
        <v>150</v>
      </c>
      <c r="D41" s="20" t="s">
        <v>174</v>
      </c>
      <c r="E41" s="21" t="s">
        <v>175</v>
      </c>
      <c r="F41" s="21" t="s">
        <v>176</v>
      </c>
      <c r="G41" s="21" t="s">
        <v>177</v>
      </c>
      <c r="H41" s="21" t="s">
        <v>73</v>
      </c>
      <c r="I41" s="21" t="s">
        <v>178</v>
      </c>
      <c r="J41" s="21" t="s">
        <v>179</v>
      </c>
      <c r="K41" s="22"/>
      <c r="L41">
        <v>3</v>
      </c>
    </row>
    <row r="42" ht="36" spans="1:12">
      <c r="A42" s="19">
        <v>6</v>
      </c>
      <c r="B42" s="19" t="s">
        <v>13</v>
      </c>
      <c r="C42" s="19" t="s">
        <v>150</v>
      </c>
      <c r="D42" s="20" t="s">
        <v>180</v>
      </c>
      <c r="E42" s="21" t="s">
        <v>181</v>
      </c>
      <c r="F42" s="21" t="s">
        <v>182</v>
      </c>
      <c r="G42" s="21" t="s">
        <v>183</v>
      </c>
      <c r="H42" s="21" t="s">
        <v>184</v>
      </c>
      <c r="I42" s="21" t="s">
        <v>172</v>
      </c>
      <c r="J42" s="21" t="s">
        <v>185</v>
      </c>
      <c r="L42">
        <v>1</v>
      </c>
    </row>
    <row r="43" ht="36" spans="1:12">
      <c r="A43" s="19">
        <v>7</v>
      </c>
      <c r="B43" s="19" t="s">
        <v>13</v>
      </c>
      <c r="C43" s="19" t="s">
        <v>150</v>
      </c>
      <c r="D43" s="20" t="s">
        <v>186</v>
      </c>
      <c r="E43" s="21" t="s">
        <v>187</v>
      </c>
      <c r="F43" s="21" t="s">
        <v>188</v>
      </c>
      <c r="G43" s="21" t="s">
        <v>189</v>
      </c>
      <c r="H43" s="21" t="s">
        <v>190</v>
      </c>
      <c r="I43" s="21" t="s">
        <v>172</v>
      </c>
      <c r="J43" s="21" t="s">
        <v>191</v>
      </c>
      <c r="L43">
        <v>1</v>
      </c>
    </row>
    <row r="44" ht="72" spans="1:12">
      <c r="A44" s="19">
        <v>8</v>
      </c>
      <c r="B44" s="19" t="s">
        <v>13</v>
      </c>
      <c r="C44" s="19" t="s">
        <v>150</v>
      </c>
      <c r="D44" s="20" t="s">
        <v>192</v>
      </c>
      <c r="E44" s="21" t="s">
        <v>193</v>
      </c>
      <c r="F44" s="21" t="s">
        <v>194</v>
      </c>
      <c r="G44" s="21" t="s">
        <v>195</v>
      </c>
      <c r="H44" s="21" t="s">
        <v>196</v>
      </c>
      <c r="I44" s="21" t="s">
        <v>153</v>
      </c>
      <c r="J44" s="21" t="s">
        <v>197</v>
      </c>
      <c r="K44" s="22">
        <v>1</v>
      </c>
      <c r="L44">
        <v>2</v>
      </c>
    </row>
    <row r="45" ht="48" spans="1:12">
      <c r="A45" s="19">
        <v>9</v>
      </c>
      <c r="B45" s="19" t="s">
        <v>13</v>
      </c>
      <c r="C45" s="19" t="s">
        <v>150</v>
      </c>
      <c r="D45" s="20" t="s">
        <v>198</v>
      </c>
      <c r="E45" s="21" t="s">
        <v>199</v>
      </c>
      <c r="F45" s="21" t="s">
        <v>200</v>
      </c>
      <c r="G45" s="21" t="s">
        <v>201</v>
      </c>
      <c r="H45" s="21" t="s">
        <v>202</v>
      </c>
      <c r="I45" s="21" t="s">
        <v>203</v>
      </c>
      <c r="J45" s="21" t="s">
        <v>96</v>
      </c>
      <c r="L45">
        <v>1</v>
      </c>
    </row>
    <row r="46" ht="60" spans="1:12">
      <c r="A46" s="19">
        <v>10</v>
      </c>
      <c r="B46" s="19" t="s">
        <v>13</v>
      </c>
      <c r="C46" s="19" t="s">
        <v>150</v>
      </c>
      <c r="D46" s="20" t="s">
        <v>204</v>
      </c>
      <c r="E46" s="21" t="s">
        <v>205</v>
      </c>
      <c r="F46" s="21" t="s">
        <v>206</v>
      </c>
      <c r="G46" s="21" t="s">
        <v>207</v>
      </c>
      <c r="H46" s="21" t="s">
        <v>208</v>
      </c>
      <c r="I46" s="21" t="s">
        <v>160</v>
      </c>
      <c r="J46" s="21" t="s">
        <v>209</v>
      </c>
      <c r="K46" s="22">
        <v>1</v>
      </c>
      <c r="L46">
        <v>2</v>
      </c>
    </row>
    <row r="47" ht="48" spans="1:12">
      <c r="A47" s="19">
        <v>11</v>
      </c>
      <c r="B47" s="19" t="s">
        <v>13</v>
      </c>
      <c r="C47" s="19" t="s">
        <v>150</v>
      </c>
      <c r="D47" s="20" t="s">
        <v>210</v>
      </c>
      <c r="E47" s="21" t="s">
        <v>211</v>
      </c>
      <c r="F47" s="21" t="s">
        <v>212</v>
      </c>
      <c r="G47" s="21" t="s">
        <v>213</v>
      </c>
      <c r="H47" s="21" t="s">
        <v>214</v>
      </c>
      <c r="I47" s="21" t="s">
        <v>215</v>
      </c>
      <c r="J47" s="21" t="s">
        <v>216</v>
      </c>
      <c r="K47" s="22">
        <v>1</v>
      </c>
      <c r="L47">
        <v>2</v>
      </c>
    </row>
    <row r="48" ht="24" spans="1:12">
      <c r="A48" s="19">
        <v>12</v>
      </c>
      <c r="B48" s="19" t="s">
        <v>13</v>
      </c>
      <c r="C48" s="19" t="s">
        <v>150</v>
      </c>
      <c r="D48" s="20" t="s">
        <v>217</v>
      </c>
      <c r="E48" s="21" t="s">
        <v>218</v>
      </c>
      <c r="F48" s="21" t="s">
        <v>219</v>
      </c>
      <c r="G48" s="21" t="s">
        <v>220</v>
      </c>
      <c r="H48" s="21" t="s">
        <v>221</v>
      </c>
      <c r="I48" s="21" t="s">
        <v>172</v>
      </c>
      <c r="J48" s="21" t="s">
        <v>222</v>
      </c>
      <c r="L48">
        <v>1</v>
      </c>
    </row>
    <row r="49" ht="24" spans="1:12">
      <c r="A49" s="19">
        <v>13</v>
      </c>
      <c r="B49" s="19" t="s">
        <v>13</v>
      </c>
      <c r="C49" s="19" t="s">
        <v>150</v>
      </c>
      <c r="D49" s="20" t="s">
        <v>223</v>
      </c>
      <c r="E49" s="21" t="s">
        <v>224</v>
      </c>
      <c r="F49" s="21" t="s">
        <v>225</v>
      </c>
      <c r="G49" s="21" t="s">
        <v>226</v>
      </c>
      <c r="H49" s="21" t="s">
        <v>227</v>
      </c>
      <c r="I49" s="21" t="s">
        <v>153</v>
      </c>
      <c r="J49" s="21" t="s">
        <v>228</v>
      </c>
      <c r="L49">
        <v>1</v>
      </c>
    </row>
    <row r="50" ht="60" spans="1:12">
      <c r="A50" s="19">
        <v>14</v>
      </c>
      <c r="B50" s="19" t="s">
        <v>13</v>
      </c>
      <c r="C50" s="19" t="s">
        <v>150</v>
      </c>
      <c r="D50" s="20" t="s">
        <v>229</v>
      </c>
      <c r="E50" s="21" t="s">
        <v>230</v>
      </c>
      <c r="F50" s="21" t="s">
        <v>231</v>
      </c>
      <c r="G50" s="21" t="s">
        <v>32</v>
      </c>
      <c r="H50" s="21" t="s">
        <v>232</v>
      </c>
      <c r="I50" s="21" t="s">
        <v>233</v>
      </c>
      <c r="J50" s="21" t="s">
        <v>234</v>
      </c>
      <c r="K50" s="22">
        <v>1</v>
      </c>
      <c r="L50">
        <v>2</v>
      </c>
    </row>
    <row r="51" ht="60" spans="1:10">
      <c r="A51" s="19">
        <v>15</v>
      </c>
      <c r="B51" s="19" t="s">
        <v>13</v>
      </c>
      <c r="C51" s="19" t="s">
        <v>150</v>
      </c>
      <c r="D51" s="20" t="s">
        <v>235</v>
      </c>
      <c r="E51" s="21" t="s">
        <v>236</v>
      </c>
      <c r="F51" s="21" t="s">
        <v>237</v>
      </c>
      <c r="G51" s="21" t="s">
        <v>238</v>
      </c>
      <c r="H51" s="21" t="s">
        <v>239</v>
      </c>
      <c r="I51" s="21" t="s">
        <v>178</v>
      </c>
      <c r="J51" s="21" t="s">
        <v>240</v>
      </c>
    </row>
    <row r="52" ht="84" spans="1:10">
      <c r="A52" s="19">
        <v>16</v>
      </c>
      <c r="B52" s="19" t="s">
        <v>13</v>
      </c>
      <c r="C52" s="19" t="s">
        <v>150</v>
      </c>
      <c r="D52" s="20" t="s">
        <v>241</v>
      </c>
      <c r="E52" s="21" t="s">
        <v>242</v>
      </c>
      <c r="F52" s="21" t="s">
        <v>243</v>
      </c>
      <c r="G52" s="21" t="s">
        <v>244</v>
      </c>
      <c r="H52" s="21" t="s">
        <v>245</v>
      </c>
      <c r="I52" s="21" t="s">
        <v>153</v>
      </c>
      <c r="J52" s="21" t="s">
        <v>246</v>
      </c>
    </row>
    <row r="53" ht="60" spans="1:10">
      <c r="A53" s="19">
        <v>17</v>
      </c>
      <c r="B53" s="19" t="s">
        <v>13</v>
      </c>
      <c r="C53" s="19" t="s">
        <v>150</v>
      </c>
      <c r="D53" s="20" t="s">
        <v>247</v>
      </c>
      <c r="E53" s="21" t="s">
        <v>248</v>
      </c>
      <c r="F53" s="21" t="s">
        <v>249</v>
      </c>
      <c r="G53" s="21" t="s">
        <v>250</v>
      </c>
      <c r="H53" s="21" t="s">
        <v>251</v>
      </c>
      <c r="I53" s="21" t="s">
        <v>252</v>
      </c>
      <c r="J53" s="21" t="s">
        <v>253</v>
      </c>
    </row>
    <row r="54" ht="24" spans="1:10">
      <c r="A54" s="19">
        <v>1</v>
      </c>
      <c r="B54" s="19" t="s">
        <v>13</v>
      </c>
      <c r="C54" s="19" t="s">
        <v>254</v>
      </c>
      <c r="D54" s="20" t="s">
        <v>255</v>
      </c>
      <c r="E54" s="21" t="s">
        <v>256</v>
      </c>
      <c r="F54" s="21" t="s">
        <v>257</v>
      </c>
      <c r="G54" s="21"/>
      <c r="H54" s="21"/>
      <c r="I54" s="21" t="s">
        <v>5</v>
      </c>
      <c r="J54" s="21">
        <v>3.5</v>
      </c>
    </row>
    <row r="55" ht="36" spans="1:10">
      <c r="A55" s="19">
        <v>2</v>
      </c>
      <c r="B55" s="19" t="s">
        <v>13</v>
      </c>
      <c r="C55" s="19" t="s">
        <v>254</v>
      </c>
      <c r="D55" s="20" t="s">
        <v>258</v>
      </c>
      <c r="E55" s="21" t="s">
        <v>256</v>
      </c>
      <c r="F55" s="21" t="s">
        <v>257</v>
      </c>
      <c r="G55" s="21"/>
      <c r="H55" s="21"/>
      <c r="I55" s="21" t="s">
        <v>5</v>
      </c>
      <c r="J55" s="21">
        <v>3.12</v>
      </c>
    </row>
    <row r="56" ht="24" spans="1:10">
      <c r="A56" s="19">
        <v>3</v>
      </c>
      <c r="B56" s="19" t="s">
        <v>13</v>
      </c>
      <c r="C56" s="19" t="s">
        <v>254</v>
      </c>
      <c r="D56" s="20" t="s">
        <v>259</v>
      </c>
      <c r="E56" s="21" t="s">
        <v>256</v>
      </c>
      <c r="F56" s="21" t="s">
        <v>257</v>
      </c>
      <c r="G56" s="21"/>
      <c r="H56" s="21"/>
      <c r="I56" s="21" t="s">
        <v>5</v>
      </c>
      <c r="J56" s="21">
        <v>3.17</v>
      </c>
    </row>
    <row r="57" ht="24" spans="1:10">
      <c r="A57" s="19">
        <v>4</v>
      </c>
      <c r="B57" s="19" t="s">
        <v>13</v>
      </c>
      <c r="C57" s="19" t="s">
        <v>254</v>
      </c>
      <c r="D57" s="20" t="s">
        <v>260</v>
      </c>
      <c r="E57" s="21" t="s">
        <v>256</v>
      </c>
      <c r="F57" s="21" t="s">
        <v>257</v>
      </c>
      <c r="G57" s="21"/>
      <c r="H57" s="21"/>
      <c r="I57" s="21" t="s">
        <v>5</v>
      </c>
      <c r="J57" s="23" t="s">
        <v>261</v>
      </c>
    </row>
    <row r="58" ht="24" spans="1:10">
      <c r="A58" s="19">
        <v>5</v>
      </c>
      <c r="B58" s="19" t="s">
        <v>13</v>
      </c>
      <c r="C58" s="19" t="s">
        <v>254</v>
      </c>
      <c r="D58" s="20" t="s">
        <v>262</v>
      </c>
      <c r="E58" s="21" t="s">
        <v>256</v>
      </c>
      <c r="F58" s="21" t="s">
        <v>257</v>
      </c>
      <c r="G58" s="21"/>
      <c r="H58" s="21"/>
      <c r="I58" s="21" t="s">
        <v>6</v>
      </c>
      <c r="J58" s="21" t="s">
        <v>263</v>
      </c>
    </row>
    <row r="59" ht="24" spans="1:10">
      <c r="A59" s="19">
        <v>6</v>
      </c>
      <c r="B59" s="19" t="s">
        <v>13</v>
      </c>
      <c r="C59" s="19" t="s">
        <v>254</v>
      </c>
      <c r="D59" s="20" t="s">
        <v>264</v>
      </c>
      <c r="E59" s="21" t="s">
        <v>256</v>
      </c>
      <c r="F59" s="21" t="s">
        <v>257</v>
      </c>
      <c r="G59" s="21"/>
      <c r="H59" s="21"/>
      <c r="I59" s="21" t="s">
        <v>6</v>
      </c>
      <c r="J59" s="21" t="s">
        <v>197</v>
      </c>
    </row>
    <row r="60" ht="24" spans="1:10">
      <c r="A60" s="19">
        <v>7</v>
      </c>
      <c r="B60" s="19" t="s">
        <v>13</v>
      </c>
      <c r="C60" s="19" t="s">
        <v>254</v>
      </c>
      <c r="D60" s="20" t="s">
        <v>265</v>
      </c>
      <c r="E60" s="21" t="s">
        <v>256</v>
      </c>
      <c r="F60" s="21" t="s">
        <v>257</v>
      </c>
      <c r="G60" s="21"/>
      <c r="H60" s="21"/>
      <c r="I60" s="21" t="s">
        <v>6</v>
      </c>
      <c r="J60" s="21" t="s">
        <v>90</v>
      </c>
    </row>
    <row r="61" ht="36" spans="1:10">
      <c r="A61" s="19">
        <v>8</v>
      </c>
      <c r="B61" s="19" t="s">
        <v>13</v>
      </c>
      <c r="C61" s="19" t="s">
        <v>254</v>
      </c>
      <c r="D61" s="20" t="s">
        <v>266</v>
      </c>
      <c r="E61" s="21" t="s">
        <v>256</v>
      </c>
      <c r="F61" s="21" t="s">
        <v>257</v>
      </c>
      <c r="G61" s="21"/>
      <c r="H61" s="21"/>
      <c r="I61" s="21" t="s">
        <v>5</v>
      </c>
      <c r="J61" s="21" t="s">
        <v>267</v>
      </c>
    </row>
    <row r="62" ht="24" spans="1:10">
      <c r="A62" s="19">
        <v>9</v>
      </c>
      <c r="B62" s="19" t="s">
        <v>13</v>
      </c>
      <c r="C62" s="19" t="s">
        <v>254</v>
      </c>
      <c r="D62" s="20" t="s">
        <v>268</v>
      </c>
      <c r="E62" s="21" t="s">
        <v>256</v>
      </c>
      <c r="F62" s="21" t="s">
        <v>257</v>
      </c>
      <c r="G62" s="21"/>
      <c r="H62" s="21"/>
      <c r="I62" s="21" t="s">
        <v>6</v>
      </c>
      <c r="J62" s="21" t="s">
        <v>269</v>
      </c>
    </row>
    <row r="63" ht="24" spans="1:10">
      <c r="A63" s="19">
        <v>10</v>
      </c>
      <c r="B63" s="19" t="s">
        <v>13</v>
      </c>
      <c r="C63" s="19" t="s">
        <v>254</v>
      </c>
      <c r="D63" s="20" t="s">
        <v>270</v>
      </c>
      <c r="E63" s="21" t="s">
        <v>256</v>
      </c>
      <c r="F63" s="21" t="s">
        <v>257</v>
      </c>
      <c r="G63" s="21"/>
      <c r="H63" s="21"/>
      <c r="I63" s="21" t="s">
        <v>6</v>
      </c>
      <c r="J63" s="21" t="s">
        <v>269</v>
      </c>
    </row>
    <row r="64" ht="24" spans="1:10">
      <c r="A64" s="19">
        <v>11</v>
      </c>
      <c r="B64" s="19" t="s">
        <v>13</v>
      </c>
      <c r="C64" s="19" t="s">
        <v>254</v>
      </c>
      <c r="D64" s="20" t="s">
        <v>271</v>
      </c>
      <c r="E64" s="21" t="s">
        <v>256</v>
      </c>
      <c r="F64" s="21" t="s">
        <v>257</v>
      </c>
      <c r="G64" s="21"/>
      <c r="H64" s="21"/>
      <c r="I64" s="21" t="s">
        <v>6</v>
      </c>
      <c r="J64" s="21" t="s">
        <v>125</v>
      </c>
    </row>
    <row r="65" ht="24" spans="1:10">
      <c r="A65" s="19">
        <v>12</v>
      </c>
      <c r="B65" s="19" t="s">
        <v>13</v>
      </c>
      <c r="C65" s="19" t="s">
        <v>254</v>
      </c>
      <c r="D65" s="20" t="s">
        <v>272</v>
      </c>
      <c r="E65" s="21" t="s">
        <v>256</v>
      </c>
      <c r="F65" s="21" t="s">
        <v>257</v>
      </c>
      <c r="G65" s="21"/>
      <c r="H65" s="21"/>
      <c r="I65" s="21" t="s">
        <v>6</v>
      </c>
      <c r="J65" s="21" t="s">
        <v>273</v>
      </c>
    </row>
    <row r="66" ht="24" spans="1:10">
      <c r="A66" s="19">
        <v>13</v>
      </c>
      <c r="B66" s="19" t="s">
        <v>13</v>
      </c>
      <c r="C66" s="19" t="s">
        <v>254</v>
      </c>
      <c r="D66" s="20" t="s">
        <v>274</v>
      </c>
      <c r="E66" s="21" t="s">
        <v>256</v>
      </c>
      <c r="F66" s="21" t="s">
        <v>257</v>
      </c>
      <c r="G66" s="21"/>
      <c r="H66" s="21"/>
      <c r="I66" s="21" t="s">
        <v>5</v>
      </c>
      <c r="J66" s="21" t="s">
        <v>275</v>
      </c>
    </row>
    <row r="67" ht="36" spans="1:10">
      <c r="A67" s="19">
        <v>14</v>
      </c>
      <c r="B67" s="19" t="s">
        <v>13</v>
      </c>
      <c r="C67" s="19" t="s">
        <v>254</v>
      </c>
      <c r="D67" s="20" t="s">
        <v>276</v>
      </c>
      <c r="E67" s="21" t="s">
        <v>256</v>
      </c>
      <c r="F67" s="21" t="s">
        <v>257</v>
      </c>
      <c r="G67" s="21"/>
      <c r="H67" s="21"/>
      <c r="I67" s="21" t="s">
        <v>6</v>
      </c>
      <c r="J67" s="21" t="s">
        <v>277</v>
      </c>
    </row>
    <row r="68" ht="24" spans="1:10">
      <c r="A68" s="19">
        <v>15</v>
      </c>
      <c r="B68" s="19" t="s">
        <v>13</v>
      </c>
      <c r="C68" s="19" t="s">
        <v>254</v>
      </c>
      <c r="D68" s="20" t="s">
        <v>278</v>
      </c>
      <c r="E68" s="21" t="s">
        <v>256</v>
      </c>
      <c r="F68" s="21" t="s">
        <v>257</v>
      </c>
      <c r="G68" s="21"/>
      <c r="H68" s="21"/>
      <c r="I68" s="21" t="s">
        <v>6</v>
      </c>
      <c r="J68" s="21" t="s">
        <v>279</v>
      </c>
    </row>
    <row r="69" ht="24" spans="1:10">
      <c r="A69" s="19">
        <v>16</v>
      </c>
      <c r="B69" s="19" t="s">
        <v>13</v>
      </c>
      <c r="C69" s="19" t="s">
        <v>254</v>
      </c>
      <c r="D69" s="20" t="s">
        <v>280</v>
      </c>
      <c r="E69" s="21" t="s">
        <v>256</v>
      </c>
      <c r="F69" s="21" t="s">
        <v>257</v>
      </c>
      <c r="G69" s="21"/>
      <c r="H69" s="21"/>
      <c r="I69" s="21" t="s">
        <v>6</v>
      </c>
      <c r="J69" s="21" t="s">
        <v>281</v>
      </c>
    </row>
    <row r="70" ht="24" spans="1:10">
      <c r="A70" s="19">
        <v>17</v>
      </c>
      <c r="B70" s="19" t="s">
        <v>13</v>
      </c>
      <c r="C70" s="19" t="s">
        <v>254</v>
      </c>
      <c r="D70" s="20" t="s">
        <v>282</v>
      </c>
      <c r="E70" s="21" t="s">
        <v>256</v>
      </c>
      <c r="F70" s="21" t="s">
        <v>257</v>
      </c>
      <c r="G70" s="21"/>
      <c r="H70" s="21"/>
      <c r="I70" s="21" t="s">
        <v>6</v>
      </c>
      <c r="J70" s="21" t="s">
        <v>283</v>
      </c>
    </row>
    <row r="71" ht="60" spans="1:10">
      <c r="A71" s="19">
        <v>18</v>
      </c>
      <c r="B71" s="19" t="s">
        <v>13</v>
      </c>
      <c r="C71" s="19" t="s">
        <v>254</v>
      </c>
      <c r="D71" s="20" t="s">
        <v>284</v>
      </c>
      <c r="E71" s="21" t="s">
        <v>256</v>
      </c>
      <c r="F71" s="21" t="s">
        <v>257</v>
      </c>
      <c r="G71" s="21"/>
      <c r="H71" s="21"/>
      <c r="I71" s="21" t="s">
        <v>5</v>
      </c>
      <c r="J71" s="21" t="s">
        <v>285</v>
      </c>
    </row>
    <row r="72" ht="60" spans="1:10">
      <c r="A72" s="19">
        <v>19</v>
      </c>
      <c r="B72" s="19" t="s">
        <v>13</v>
      </c>
      <c r="C72" s="19" t="s">
        <v>254</v>
      </c>
      <c r="D72" s="20" t="s">
        <v>286</v>
      </c>
      <c r="E72" s="21" t="s">
        <v>256</v>
      </c>
      <c r="F72" s="21" t="s">
        <v>257</v>
      </c>
      <c r="G72" s="21"/>
      <c r="H72" s="21"/>
      <c r="I72" s="21" t="s">
        <v>6</v>
      </c>
      <c r="J72" s="21" t="s">
        <v>287</v>
      </c>
    </row>
    <row r="73" ht="24" spans="1:10">
      <c r="A73" s="24">
        <v>1</v>
      </c>
      <c r="B73" s="24" t="s">
        <v>288</v>
      </c>
      <c r="C73" s="24" t="s">
        <v>14</v>
      </c>
      <c r="D73" s="25" t="s">
        <v>289</v>
      </c>
      <c r="E73" s="26" t="s">
        <v>30</v>
      </c>
      <c r="F73" s="26" t="s">
        <v>31</v>
      </c>
      <c r="G73" s="26" t="s">
        <v>32</v>
      </c>
      <c r="H73" s="26" t="s">
        <v>33</v>
      </c>
      <c r="I73" s="26" t="s">
        <v>8</v>
      </c>
      <c r="J73" s="26">
        <v>3.24</v>
      </c>
    </row>
    <row r="74" ht="36" spans="1:10">
      <c r="A74" s="24">
        <v>2</v>
      </c>
      <c r="B74" s="24" t="s">
        <v>288</v>
      </c>
      <c r="C74" s="24" t="s">
        <v>14</v>
      </c>
      <c r="D74" s="25" t="s">
        <v>290</v>
      </c>
      <c r="E74" s="26" t="s">
        <v>291</v>
      </c>
      <c r="F74" s="26" t="s">
        <v>292</v>
      </c>
      <c r="G74" s="26" t="s">
        <v>293</v>
      </c>
      <c r="H74" s="26" t="s">
        <v>294</v>
      </c>
      <c r="I74" s="26" t="s">
        <v>6</v>
      </c>
      <c r="J74" s="26">
        <v>4.3</v>
      </c>
    </row>
    <row r="75" ht="36" spans="1:10">
      <c r="A75" s="24">
        <v>3</v>
      </c>
      <c r="B75" s="24" t="s">
        <v>288</v>
      </c>
      <c r="C75" s="24" t="s">
        <v>14</v>
      </c>
      <c r="D75" s="25" t="s">
        <v>295</v>
      </c>
      <c r="E75" s="26" t="s">
        <v>296</v>
      </c>
      <c r="F75" s="26" t="s">
        <v>297</v>
      </c>
      <c r="G75" s="26" t="s">
        <v>298</v>
      </c>
      <c r="H75" s="26" t="s">
        <v>299</v>
      </c>
      <c r="I75" s="26" t="s">
        <v>5</v>
      </c>
      <c r="J75" s="26" t="s">
        <v>300</v>
      </c>
    </row>
    <row r="76" ht="24" spans="1:10">
      <c r="A76" s="24">
        <v>4</v>
      </c>
      <c r="B76" s="24" t="s">
        <v>288</v>
      </c>
      <c r="C76" s="24" t="s">
        <v>14</v>
      </c>
      <c r="D76" s="25" t="s">
        <v>301</v>
      </c>
      <c r="E76" s="26" t="s">
        <v>302</v>
      </c>
      <c r="F76" s="26" t="s">
        <v>303</v>
      </c>
      <c r="G76" s="26" t="s">
        <v>304</v>
      </c>
      <c r="H76" s="26" t="s">
        <v>305</v>
      </c>
      <c r="I76" s="26" t="s">
        <v>6</v>
      </c>
      <c r="J76" s="26" t="s">
        <v>306</v>
      </c>
    </row>
    <row r="77" ht="36" spans="1:10">
      <c r="A77" s="24">
        <v>5</v>
      </c>
      <c r="B77" s="24" t="s">
        <v>288</v>
      </c>
      <c r="C77" s="24" t="s">
        <v>14</v>
      </c>
      <c r="D77" s="25" t="s">
        <v>307</v>
      </c>
      <c r="E77" s="26" t="s">
        <v>308</v>
      </c>
      <c r="F77" s="26" t="s">
        <v>309</v>
      </c>
      <c r="G77" s="26" t="s">
        <v>310</v>
      </c>
      <c r="H77" s="26" t="s">
        <v>311</v>
      </c>
      <c r="I77" s="26" t="s">
        <v>6</v>
      </c>
      <c r="J77" s="26" t="s">
        <v>312</v>
      </c>
    </row>
    <row r="78" ht="48" spans="1:10">
      <c r="A78" s="24">
        <v>6</v>
      </c>
      <c r="B78" s="24" t="s">
        <v>288</v>
      </c>
      <c r="C78" s="24" t="s">
        <v>14</v>
      </c>
      <c r="D78" s="25" t="s">
        <v>313</v>
      </c>
      <c r="E78" s="26" t="s">
        <v>92</v>
      </c>
      <c r="F78" s="26" t="s">
        <v>314</v>
      </c>
      <c r="G78" s="26" t="s">
        <v>60</v>
      </c>
      <c r="H78" s="26" t="s">
        <v>83</v>
      </c>
      <c r="I78" s="26" t="s">
        <v>6</v>
      </c>
      <c r="J78" s="26" t="s">
        <v>315</v>
      </c>
    </row>
    <row r="79" ht="24" spans="1:10">
      <c r="A79" s="24">
        <v>7</v>
      </c>
      <c r="B79" s="24" t="s">
        <v>288</v>
      </c>
      <c r="C79" s="24" t="s">
        <v>14</v>
      </c>
      <c r="D79" s="25" t="s">
        <v>316</v>
      </c>
      <c r="E79" s="26" t="s">
        <v>56</v>
      </c>
      <c r="F79" s="26" t="s">
        <v>38</v>
      </c>
      <c r="G79" s="26" t="s">
        <v>36</v>
      </c>
      <c r="H79" s="26" t="s">
        <v>37</v>
      </c>
      <c r="I79" s="26" t="s">
        <v>5</v>
      </c>
      <c r="J79" s="26" t="s">
        <v>317</v>
      </c>
    </row>
    <row r="80" ht="24" spans="1:10">
      <c r="A80" s="24">
        <v>8</v>
      </c>
      <c r="B80" s="24" t="s">
        <v>288</v>
      </c>
      <c r="C80" s="24" t="s">
        <v>14</v>
      </c>
      <c r="D80" s="25" t="s">
        <v>318</v>
      </c>
      <c r="E80" s="26" t="s">
        <v>56</v>
      </c>
      <c r="F80" s="26" t="s">
        <v>319</v>
      </c>
      <c r="G80" s="26" t="s">
        <v>320</v>
      </c>
      <c r="H80" s="26" t="s">
        <v>321</v>
      </c>
      <c r="I80" s="26" t="s">
        <v>7</v>
      </c>
      <c r="J80" s="26" t="s">
        <v>317</v>
      </c>
    </row>
    <row r="81" ht="24" spans="1:10">
      <c r="A81" s="24">
        <v>9</v>
      </c>
      <c r="B81" s="24"/>
      <c r="C81" s="24"/>
      <c r="D81" s="25" t="s">
        <v>322</v>
      </c>
      <c r="E81" s="26" t="s">
        <v>323</v>
      </c>
      <c r="F81" s="26" t="s">
        <v>324</v>
      </c>
      <c r="G81" s="26" t="s">
        <v>325</v>
      </c>
      <c r="H81" s="26" t="s">
        <v>326</v>
      </c>
      <c r="I81" s="26" t="s">
        <v>6</v>
      </c>
      <c r="J81" s="26" t="s">
        <v>327</v>
      </c>
    </row>
    <row r="82" ht="36" spans="1:10">
      <c r="A82" s="24">
        <v>10</v>
      </c>
      <c r="B82" s="24"/>
      <c r="C82" s="24"/>
      <c r="D82" s="25" t="s">
        <v>328</v>
      </c>
      <c r="E82" s="26" t="s">
        <v>83</v>
      </c>
      <c r="F82" s="26" t="s">
        <v>60</v>
      </c>
      <c r="G82" s="26" t="s">
        <v>329</v>
      </c>
      <c r="H82" s="26" t="s">
        <v>330</v>
      </c>
      <c r="I82" s="26" t="s">
        <v>7</v>
      </c>
      <c r="J82" s="26" t="s">
        <v>331</v>
      </c>
    </row>
    <row r="83" ht="24" spans="1:10">
      <c r="A83" s="24">
        <v>11</v>
      </c>
      <c r="B83" s="24" t="s">
        <v>288</v>
      </c>
      <c r="C83" s="24" t="s">
        <v>14</v>
      </c>
      <c r="D83" s="25" t="s">
        <v>332</v>
      </c>
      <c r="E83" s="26" t="s">
        <v>333</v>
      </c>
      <c r="F83" s="26" t="s">
        <v>334</v>
      </c>
      <c r="G83" s="26" t="s">
        <v>335</v>
      </c>
      <c r="H83" s="26" t="s">
        <v>336</v>
      </c>
      <c r="I83" s="26" t="s">
        <v>6</v>
      </c>
      <c r="J83" s="26" t="s">
        <v>75</v>
      </c>
    </row>
    <row r="84" ht="36" spans="1:10">
      <c r="A84" s="24">
        <v>12</v>
      </c>
      <c r="B84" s="24" t="s">
        <v>288</v>
      </c>
      <c r="C84" s="24" t="s">
        <v>14</v>
      </c>
      <c r="D84" s="25" t="s">
        <v>337</v>
      </c>
      <c r="E84" s="26" t="s">
        <v>60</v>
      </c>
      <c r="F84" s="26" t="s">
        <v>338</v>
      </c>
      <c r="G84" s="26" t="s">
        <v>339</v>
      </c>
      <c r="H84" s="26" t="s">
        <v>340</v>
      </c>
      <c r="I84" s="26" t="s">
        <v>5</v>
      </c>
      <c r="J84" s="26" t="s">
        <v>81</v>
      </c>
    </row>
    <row r="85" ht="24" spans="1:10">
      <c r="A85" s="24">
        <v>13</v>
      </c>
      <c r="B85" s="24" t="s">
        <v>288</v>
      </c>
      <c r="C85" s="24" t="s">
        <v>14</v>
      </c>
      <c r="D85" s="25" t="s">
        <v>82</v>
      </c>
      <c r="E85" s="26" t="s">
        <v>84</v>
      </c>
      <c r="F85" s="26" t="s">
        <v>85</v>
      </c>
      <c r="G85" s="26" t="s">
        <v>83</v>
      </c>
      <c r="H85" s="26" t="s">
        <v>86</v>
      </c>
      <c r="I85" s="26" t="s">
        <v>6</v>
      </c>
      <c r="J85" s="26" t="s">
        <v>87</v>
      </c>
    </row>
    <row r="86" ht="24" spans="1:10">
      <c r="A86" s="24">
        <v>14</v>
      </c>
      <c r="B86" s="24" t="s">
        <v>288</v>
      </c>
      <c r="C86" s="24" t="s">
        <v>14</v>
      </c>
      <c r="D86" s="25" t="s">
        <v>91</v>
      </c>
      <c r="E86" s="26" t="s">
        <v>92</v>
      </c>
      <c r="F86" s="26" t="s">
        <v>60</v>
      </c>
      <c r="G86" s="26" t="s">
        <v>83</v>
      </c>
      <c r="H86" s="26" t="s">
        <v>59</v>
      </c>
      <c r="I86" s="26" t="s">
        <v>6</v>
      </c>
      <c r="J86" s="26" t="s">
        <v>93</v>
      </c>
    </row>
    <row r="87" spans="1:10">
      <c r="A87" s="24">
        <v>15</v>
      </c>
      <c r="B87" s="24" t="s">
        <v>288</v>
      </c>
      <c r="C87" s="24" t="s">
        <v>14</v>
      </c>
      <c r="D87" s="25" t="s">
        <v>97</v>
      </c>
      <c r="E87" s="26" t="s">
        <v>43</v>
      </c>
      <c r="F87" s="26" t="s">
        <v>99</v>
      </c>
      <c r="G87" s="26" t="s">
        <v>98</v>
      </c>
      <c r="H87" s="26" t="s">
        <v>100</v>
      </c>
      <c r="I87" s="26" t="s">
        <v>6</v>
      </c>
      <c r="J87" s="26" t="s">
        <v>101</v>
      </c>
    </row>
    <row r="88" ht="36" spans="1:10">
      <c r="A88" s="24">
        <v>16</v>
      </c>
      <c r="B88" s="24" t="s">
        <v>288</v>
      </c>
      <c r="C88" s="24" t="s">
        <v>14</v>
      </c>
      <c r="D88" s="25" t="s">
        <v>128</v>
      </c>
      <c r="E88" s="26" t="s">
        <v>129</v>
      </c>
      <c r="F88" s="26" t="s">
        <v>132</v>
      </c>
      <c r="G88" s="26" t="s">
        <v>130</v>
      </c>
      <c r="H88" s="26" t="s">
        <v>341</v>
      </c>
      <c r="I88" s="26" t="s">
        <v>6</v>
      </c>
      <c r="J88" s="26" t="s">
        <v>133</v>
      </c>
    </row>
    <row r="89" spans="1:10">
      <c r="A89" s="24">
        <v>17</v>
      </c>
      <c r="B89" s="24" t="s">
        <v>288</v>
      </c>
      <c r="C89" s="24" t="s">
        <v>14</v>
      </c>
      <c r="D89" s="25" t="s">
        <v>342</v>
      </c>
      <c r="E89" s="26" t="s">
        <v>343</v>
      </c>
      <c r="F89" s="26" t="s">
        <v>344</v>
      </c>
      <c r="G89" s="26" t="s">
        <v>345</v>
      </c>
      <c r="H89" s="26" t="s">
        <v>346</v>
      </c>
      <c r="I89" s="26" t="s">
        <v>8</v>
      </c>
      <c r="J89" s="26" t="s">
        <v>347</v>
      </c>
    </row>
    <row r="90" ht="24" spans="1:10">
      <c r="A90" s="24">
        <v>18</v>
      </c>
      <c r="B90" s="24" t="s">
        <v>288</v>
      </c>
      <c r="C90" s="24" t="s">
        <v>14</v>
      </c>
      <c r="D90" s="25" t="s">
        <v>348</v>
      </c>
      <c r="E90" s="26" t="s">
        <v>310</v>
      </c>
      <c r="F90" s="26" t="s">
        <v>349</v>
      </c>
      <c r="G90" s="26" t="s">
        <v>308</v>
      </c>
      <c r="H90" s="26" t="s">
        <v>350</v>
      </c>
      <c r="I90" s="26" t="s">
        <v>8</v>
      </c>
      <c r="J90" s="26" t="s">
        <v>351</v>
      </c>
    </row>
    <row r="91" ht="24" spans="1:10">
      <c r="A91" s="24">
        <v>19</v>
      </c>
      <c r="B91" s="24" t="s">
        <v>288</v>
      </c>
      <c r="C91" s="24" t="s">
        <v>14</v>
      </c>
      <c r="D91" s="25" t="s">
        <v>352</v>
      </c>
      <c r="E91" s="26" t="s">
        <v>353</v>
      </c>
      <c r="F91" s="26" t="s">
        <v>354</v>
      </c>
      <c r="G91" s="26" t="s">
        <v>355</v>
      </c>
      <c r="H91" s="26" t="s">
        <v>356</v>
      </c>
      <c r="I91" s="26" t="s">
        <v>8</v>
      </c>
      <c r="J91" s="26" t="s">
        <v>357</v>
      </c>
    </row>
    <row r="92" ht="36" spans="1:10">
      <c r="A92" s="24">
        <v>20</v>
      </c>
      <c r="B92" s="24" t="s">
        <v>288</v>
      </c>
      <c r="C92" s="24" t="s">
        <v>14</v>
      </c>
      <c r="D92" s="25" t="s">
        <v>358</v>
      </c>
      <c r="E92" s="26" t="s">
        <v>37</v>
      </c>
      <c r="F92" s="26" t="s">
        <v>38</v>
      </c>
      <c r="G92" s="26" t="s">
        <v>56</v>
      </c>
      <c r="H92" s="26" t="s">
        <v>319</v>
      </c>
      <c r="I92" s="26" t="s">
        <v>7</v>
      </c>
      <c r="J92" s="26" t="s">
        <v>359</v>
      </c>
    </row>
    <row r="93" ht="24" spans="1:10">
      <c r="A93" s="24">
        <v>21</v>
      </c>
      <c r="B93" s="24" t="s">
        <v>288</v>
      </c>
      <c r="C93" s="24" t="s">
        <v>14</v>
      </c>
      <c r="D93" s="25" t="s">
        <v>360</v>
      </c>
      <c r="E93" s="26" t="s">
        <v>361</v>
      </c>
      <c r="F93" s="26" t="s">
        <v>362</v>
      </c>
      <c r="G93" s="26" t="s">
        <v>363</v>
      </c>
      <c r="H93" s="26" t="s">
        <v>364</v>
      </c>
      <c r="I93" s="26" t="s">
        <v>6</v>
      </c>
      <c r="J93" s="26" t="s">
        <v>365</v>
      </c>
    </row>
    <row r="94" ht="24" spans="1:10">
      <c r="A94" s="24">
        <v>22</v>
      </c>
      <c r="B94" s="24" t="s">
        <v>288</v>
      </c>
      <c r="C94" s="24" t="s">
        <v>14</v>
      </c>
      <c r="D94" s="25" t="s">
        <v>366</v>
      </c>
      <c r="E94" s="26" t="s">
        <v>367</v>
      </c>
      <c r="F94" s="26" t="s">
        <v>368</v>
      </c>
      <c r="G94" s="26" t="s">
        <v>369</v>
      </c>
      <c r="H94" s="26" t="s">
        <v>370</v>
      </c>
      <c r="I94" s="26" t="s">
        <v>7</v>
      </c>
      <c r="J94" s="26" t="s">
        <v>371</v>
      </c>
    </row>
    <row r="95" spans="1:10">
      <c r="A95" s="24">
        <v>23</v>
      </c>
      <c r="B95" s="24" t="s">
        <v>288</v>
      </c>
      <c r="C95" s="24" t="s">
        <v>14</v>
      </c>
      <c r="D95" s="25" t="s">
        <v>372</v>
      </c>
      <c r="E95" s="26" t="s">
        <v>373</v>
      </c>
      <c r="F95" s="26" t="s">
        <v>374</v>
      </c>
      <c r="G95" s="26" t="s">
        <v>375</v>
      </c>
      <c r="H95" s="26" t="s">
        <v>376</v>
      </c>
      <c r="I95" s="26" t="s">
        <v>8</v>
      </c>
      <c r="J95" s="26" t="s">
        <v>377</v>
      </c>
    </row>
    <row r="96" ht="48" spans="1:10">
      <c r="A96" s="24">
        <v>24</v>
      </c>
      <c r="B96" s="24" t="s">
        <v>288</v>
      </c>
      <c r="C96" s="24" t="s">
        <v>14</v>
      </c>
      <c r="D96" s="25" t="s">
        <v>378</v>
      </c>
      <c r="E96" s="26" t="s">
        <v>379</v>
      </c>
      <c r="F96" s="26" t="s">
        <v>380</v>
      </c>
      <c r="G96" s="26" t="s">
        <v>381</v>
      </c>
      <c r="H96" s="26" t="s">
        <v>382</v>
      </c>
      <c r="I96" s="26" t="s">
        <v>7</v>
      </c>
      <c r="J96" s="26" t="s">
        <v>383</v>
      </c>
    </row>
    <row r="97" spans="1:10">
      <c r="A97" s="24">
        <v>25</v>
      </c>
      <c r="B97" s="24" t="s">
        <v>288</v>
      </c>
      <c r="C97" s="24" t="s">
        <v>14</v>
      </c>
      <c r="D97" s="25" t="s">
        <v>384</v>
      </c>
      <c r="E97" s="26" t="s">
        <v>350</v>
      </c>
      <c r="F97" s="26" t="s">
        <v>385</v>
      </c>
      <c r="G97" s="26" t="s">
        <v>386</v>
      </c>
      <c r="H97" s="26" t="s">
        <v>308</v>
      </c>
      <c r="I97" s="26" t="s">
        <v>7</v>
      </c>
      <c r="J97" s="26" t="s">
        <v>387</v>
      </c>
    </row>
    <row r="98" ht="24" spans="1:10">
      <c r="A98" s="24">
        <v>26</v>
      </c>
      <c r="B98" s="24" t="s">
        <v>288</v>
      </c>
      <c r="C98" s="24" t="s">
        <v>14</v>
      </c>
      <c r="D98" s="25" t="s">
        <v>388</v>
      </c>
      <c r="E98" s="26" t="s">
        <v>389</v>
      </c>
      <c r="F98" s="26" t="s">
        <v>390</v>
      </c>
      <c r="G98" s="26" t="s">
        <v>391</v>
      </c>
      <c r="H98" s="26" t="s">
        <v>392</v>
      </c>
      <c r="I98" s="26" t="s">
        <v>5</v>
      </c>
      <c r="J98" s="26" t="s">
        <v>393</v>
      </c>
    </row>
    <row r="99" ht="36" spans="1:10">
      <c r="A99" s="24">
        <v>27</v>
      </c>
      <c r="B99" s="24" t="s">
        <v>288</v>
      </c>
      <c r="C99" s="24" t="s">
        <v>14</v>
      </c>
      <c r="D99" s="25" t="s">
        <v>394</v>
      </c>
      <c r="E99" s="26" t="s">
        <v>395</v>
      </c>
      <c r="F99" s="26" t="s">
        <v>396</v>
      </c>
      <c r="G99" s="26" t="s">
        <v>397</v>
      </c>
      <c r="H99" s="26" t="s">
        <v>370</v>
      </c>
      <c r="I99" s="26" t="s">
        <v>7</v>
      </c>
      <c r="J99" s="26" t="s">
        <v>398</v>
      </c>
    </row>
    <row r="100" ht="48" spans="1:10">
      <c r="A100" s="24">
        <v>28</v>
      </c>
      <c r="B100" s="24" t="s">
        <v>288</v>
      </c>
      <c r="C100" s="24" t="s">
        <v>14</v>
      </c>
      <c r="D100" s="25" t="s">
        <v>399</v>
      </c>
      <c r="E100" s="26" t="s">
        <v>400</v>
      </c>
      <c r="F100" s="26" t="s">
        <v>401</v>
      </c>
      <c r="G100" s="26" t="s">
        <v>402</v>
      </c>
      <c r="H100" s="26" t="s">
        <v>403</v>
      </c>
      <c r="I100" s="26" t="s">
        <v>5</v>
      </c>
      <c r="J100" s="26" t="s">
        <v>404</v>
      </c>
    </row>
    <row r="101" ht="36" spans="1:10">
      <c r="A101" s="24">
        <v>29</v>
      </c>
      <c r="B101" s="24" t="s">
        <v>288</v>
      </c>
      <c r="C101" s="24" t="s">
        <v>14</v>
      </c>
      <c r="D101" s="25" t="s">
        <v>405</v>
      </c>
      <c r="E101" s="26" t="s">
        <v>406</v>
      </c>
      <c r="F101" s="26" t="s">
        <v>407</v>
      </c>
      <c r="G101" s="26" t="s">
        <v>408</v>
      </c>
      <c r="H101" s="26" t="s">
        <v>370</v>
      </c>
      <c r="I101" s="26" t="s">
        <v>6</v>
      </c>
      <c r="J101" s="26" t="s">
        <v>409</v>
      </c>
    </row>
    <row r="102" ht="24" spans="1:10">
      <c r="A102" s="24">
        <v>30</v>
      </c>
      <c r="B102" s="24" t="s">
        <v>288</v>
      </c>
      <c r="C102" s="24" t="s">
        <v>14</v>
      </c>
      <c r="D102" s="25" t="s">
        <v>410</v>
      </c>
      <c r="E102" s="26" t="s">
        <v>411</v>
      </c>
      <c r="F102" s="26" t="s">
        <v>412</v>
      </c>
      <c r="G102" s="26" t="s">
        <v>413</v>
      </c>
      <c r="H102" s="26" t="s">
        <v>370</v>
      </c>
      <c r="I102" s="26" t="s">
        <v>7</v>
      </c>
      <c r="J102" s="26" t="s">
        <v>414</v>
      </c>
    </row>
    <row r="103" ht="48" spans="1:10">
      <c r="A103" s="24">
        <v>31</v>
      </c>
      <c r="B103" s="24" t="s">
        <v>288</v>
      </c>
      <c r="C103" s="24" t="s">
        <v>14</v>
      </c>
      <c r="D103" s="25" t="s">
        <v>415</v>
      </c>
      <c r="E103" s="26">
        <v>0.1</v>
      </c>
      <c r="F103" s="26">
        <v>0.2</v>
      </c>
      <c r="G103" s="26">
        <v>0.3</v>
      </c>
      <c r="H103" s="26">
        <v>0.4</v>
      </c>
      <c r="I103" s="26" t="s">
        <v>5</v>
      </c>
      <c r="J103" s="26" t="s">
        <v>416</v>
      </c>
    </row>
    <row r="104" spans="1:10">
      <c r="A104" s="24">
        <v>32</v>
      </c>
      <c r="B104" s="24" t="s">
        <v>288</v>
      </c>
      <c r="C104" s="24" t="s">
        <v>14</v>
      </c>
      <c r="D104" s="25" t="s">
        <v>417</v>
      </c>
      <c r="E104" s="26">
        <v>5</v>
      </c>
      <c r="F104" s="26">
        <v>4</v>
      </c>
      <c r="G104" s="26">
        <v>3</v>
      </c>
      <c r="H104" s="26">
        <v>2</v>
      </c>
      <c r="I104" s="26" t="s">
        <v>5</v>
      </c>
      <c r="J104" s="26" t="s">
        <v>418</v>
      </c>
    </row>
    <row r="105" ht="24" spans="1:10">
      <c r="A105" s="24">
        <v>33</v>
      </c>
      <c r="B105" s="24" t="s">
        <v>288</v>
      </c>
      <c r="C105" s="24" t="s">
        <v>14</v>
      </c>
      <c r="D105" s="25" t="s">
        <v>419</v>
      </c>
      <c r="E105" s="26" t="s">
        <v>38</v>
      </c>
      <c r="F105" s="26" t="s">
        <v>56</v>
      </c>
      <c r="G105" s="26" t="s">
        <v>321</v>
      </c>
      <c r="H105" s="26" t="s">
        <v>319</v>
      </c>
      <c r="I105" s="26" t="s">
        <v>5</v>
      </c>
      <c r="J105" s="26" t="s">
        <v>420</v>
      </c>
    </row>
    <row r="106" ht="36" spans="1:10">
      <c r="A106" s="24">
        <v>34</v>
      </c>
      <c r="B106" s="24" t="s">
        <v>288</v>
      </c>
      <c r="C106" s="24" t="s">
        <v>14</v>
      </c>
      <c r="D106" s="25" t="s">
        <v>421</v>
      </c>
      <c r="E106" s="26" t="s">
        <v>422</v>
      </c>
      <c r="F106" s="26" t="s">
        <v>423</v>
      </c>
      <c r="G106" s="26" t="s">
        <v>424</v>
      </c>
      <c r="H106" s="26" t="s">
        <v>425</v>
      </c>
      <c r="I106" s="26" t="s">
        <v>6</v>
      </c>
      <c r="J106" s="26" t="s">
        <v>426</v>
      </c>
    </row>
    <row r="107" ht="24" spans="1:10">
      <c r="A107" s="24">
        <v>35</v>
      </c>
      <c r="B107" s="24" t="s">
        <v>288</v>
      </c>
      <c r="C107" s="24" t="s">
        <v>14</v>
      </c>
      <c r="D107" s="25" t="s">
        <v>427</v>
      </c>
      <c r="E107" s="26" t="s">
        <v>428</v>
      </c>
      <c r="F107" s="26" t="s">
        <v>429</v>
      </c>
      <c r="G107" s="26" t="s">
        <v>430</v>
      </c>
      <c r="H107" s="26" t="s">
        <v>431</v>
      </c>
      <c r="I107" s="26" t="s">
        <v>5</v>
      </c>
      <c r="J107" s="26" t="s">
        <v>432</v>
      </c>
    </row>
    <row r="108" spans="1:10">
      <c r="A108" s="24">
        <v>36</v>
      </c>
      <c r="B108" s="24" t="s">
        <v>288</v>
      </c>
      <c r="C108" s="24" t="s">
        <v>14</v>
      </c>
      <c r="D108" s="25" t="s">
        <v>433</v>
      </c>
      <c r="E108" s="26" t="s">
        <v>434</v>
      </c>
      <c r="F108" s="26" t="s">
        <v>435</v>
      </c>
      <c r="G108" s="26" t="s">
        <v>436</v>
      </c>
      <c r="H108" s="26" t="s">
        <v>437</v>
      </c>
      <c r="I108" s="26" t="s">
        <v>6</v>
      </c>
      <c r="J108" s="26" t="s">
        <v>438</v>
      </c>
    </row>
    <row r="109" ht="36" spans="1:10">
      <c r="A109" s="24">
        <v>37</v>
      </c>
      <c r="B109" s="24" t="s">
        <v>288</v>
      </c>
      <c r="C109" s="24" t="s">
        <v>14</v>
      </c>
      <c r="D109" s="25" t="s">
        <v>439</v>
      </c>
      <c r="E109" s="26">
        <v>1</v>
      </c>
      <c r="F109" s="26">
        <v>2</v>
      </c>
      <c r="G109" s="26">
        <v>3</v>
      </c>
      <c r="H109" s="26">
        <v>4</v>
      </c>
      <c r="I109" s="26" t="s">
        <v>5</v>
      </c>
      <c r="J109" s="26" t="s">
        <v>440</v>
      </c>
    </row>
    <row r="110" ht="24" spans="1:10">
      <c r="A110" s="24">
        <v>38</v>
      </c>
      <c r="B110" s="24" t="s">
        <v>288</v>
      </c>
      <c r="C110" s="24" t="s">
        <v>14</v>
      </c>
      <c r="D110" s="25" t="s">
        <v>441</v>
      </c>
      <c r="E110" s="26" t="s">
        <v>442</v>
      </c>
      <c r="F110" s="26" t="s">
        <v>443</v>
      </c>
      <c r="G110" s="26" t="s">
        <v>444</v>
      </c>
      <c r="H110" s="26" t="s">
        <v>370</v>
      </c>
      <c r="I110" s="26" t="s">
        <v>6</v>
      </c>
      <c r="J110" s="26" t="s">
        <v>445</v>
      </c>
    </row>
    <row r="111" spans="1:10">
      <c r="A111" s="24">
        <v>39</v>
      </c>
      <c r="B111" s="24" t="s">
        <v>288</v>
      </c>
      <c r="C111" s="24" t="s">
        <v>14</v>
      </c>
      <c r="D111" s="25" t="s">
        <v>446</v>
      </c>
      <c r="E111" s="26" t="s">
        <v>60</v>
      </c>
      <c r="F111" s="26" t="s">
        <v>83</v>
      </c>
      <c r="G111" s="26" t="s">
        <v>144</v>
      </c>
      <c r="H111" s="26" t="s">
        <v>447</v>
      </c>
      <c r="I111" s="26" t="s">
        <v>5</v>
      </c>
      <c r="J111" s="26" t="s">
        <v>448</v>
      </c>
    </row>
    <row r="112" ht="36" spans="1:10">
      <c r="A112" s="24">
        <v>40</v>
      </c>
      <c r="B112" s="24" t="s">
        <v>288</v>
      </c>
      <c r="C112" s="24" t="s">
        <v>14</v>
      </c>
      <c r="D112" s="25" t="s">
        <v>449</v>
      </c>
      <c r="E112" s="26" t="s">
        <v>450</v>
      </c>
      <c r="F112" s="26" t="s">
        <v>451</v>
      </c>
      <c r="G112" s="26" t="s">
        <v>452</v>
      </c>
      <c r="H112" s="26" t="s">
        <v>453</v>
      </c>
      <c r="I112" s="26" t="s">
        <v>5</v>
      </c>
      <c r="J112" s="26" t="s">
        <v>454</v>
      </c>
    </row>
    <row r="113" ht="24" spans="1:10">
      <c r="A113" s="24">
        <v>41</v>
      </c>
      <c r="B113" s="24" t="s">
        <v>288</v>
      </c>
      <c r="C113" s="24" t="s">
        <v>14</v>
      </c>
      <c r="D113" s="25" t="s">
        <v>455</v>
      </c>
      <c r="E113" s="26" t="s">
        <v>456</v>
      </c>
      <c r="F113" s="26" t="s">
        <v>457</v>
      </c>
      <c r="G113" s="26" t="s">
        <v>458</v>
      </c>
      <c r="H113" s="26" t="s">
        <v>459</v>
      </c>
      <c r="I113" s="26" t="s">
        <v>5</v>
      </c>
      <c r="J113" s="26" t="s">
        <v>460</v>
      </c>
    </row>
    <row r="114" ht="24" spans="1:10">
      <c r="A114" s="24">
        <v>42</v>
      </c>
      <c r="B114" s="24" t="s">
        <v>288</v>
      </c>
      <c r="C114" s="24" t="s">
        <v>14</v>
      </c>
      <c r="D114" s="25" t="s">
        <v>461</v>
      </c>
      <c r="E114" s="26" t="s">
        <v>462</v>
      </c>
      <c r="F114" s="26" t="s">
        <v>463</v>
      </c>
      <c r="G114" s="26" t="s">
        <v>464</v>
      </c>
      <c r="H114" s="26" t="s">
        <v>465</v>
      </c>
      <c r="I114" s="26" t="s">
        <v>5</v>
      </c>
      <c r="J114" s="26" t="s">
        <v>466</v>
      </c>
    </row>
    <row r="115" ht="36" spans="1:10">
      <c r="A115" s="24">
        <v>43</v>
      </c>
      <c r="B115" s="24" t="s">
        <v>288</v>
      </c>
      <c r="C115" s="24" t="s">
        <v>14</v>
      </c>
      <c r="D115" s="25" t="s">
        <v>467</v>
      </c>
      <c r="E115" s="26" t="s">
        <v>468</v>
      </c>
      <c r="F115" s="26" t="s">
        <v>469</v>
      </c>
      <c r="G115" s="26" t="s">
        <v>470</v>
      </c>
      <c r="H115" s="26" t="s">
        <v>471</v>
      </c>
      <c r="I115" s="26" t="s">
        <v>6</v>
      </c>
      <c r="J115" s="26" t="s">
        <v>472</v>
      </c>
    </row>
    <row r="116" ht="24" spans="1:10">
      <c r="A116" s="24">
        <v>44</v>
      </c>
      <c r="B116" s="24" t="s">
        <v>288</v>
      </c>
      <c r="C116" s="24" t="s">
        <v>14</v>
      </c>
      <c r="D116" s="25" t="s">
        <v>473</v>
      </c>
      <c r="E116" s="26" t="s">
        <v>474</v>
      </c>
      <c r="F116" s="26" t="s">
        <v>475</v>
      </c>
      <c r="G116" s="26" t="s">
        <v>476</v>
      </c>
      <c r="H116" s="26" t="s">
        <v>477</v>
      </c>
      <c r="I116" s="26" t="s">
        <v>7</v>
      </c>
      <c r="J116" s="26" t="s">
        <v>478</v>
      </c>
    </row>
    <row r="117" ht="24" spans="1:10">
      <c r="A117" s="24">
        <v>45</v>
      </c>
      <c r="B117" s="24" t="s">
        <v>288</v>
      </c>
      <c r="C117" s="24" t="s">
        <v>14</v>
      </c>
      <c r="D117" s="25" t="s">
        <v>479</v>
      </c>
      <c r="E117" s="26" t="s">
        <v>480</v>
      </c>
      <c r="F117" s="26" t="s">
        <v>481</v>
      </c>
      <c r="G117" s="26" t="s">
        <v>482</v>
      </c>
      <c r="H117" s="26" t="s">
        <v>483</v>
      </c>
      <c r="I117" s="26" t="s">
        <v>5</v>
      </c>
      <c r="J117" s="26" t="s">
        <v>484</v>
      </c>
    </row>
    <row r="118" ht="24" spans="1:10">
      <c r="A118" s="24">
        <v>46</v>
      </c>
      <c r="B118" s="24" t="s">
        <v>288</v>
      </c>
      <c r="C118" s="24" t="s">
        <v>14</v>
      </c>
      <c r="D118" s="25" t="s">
        <v>485</v>
      </c>
      <c r="E118" s="26" t="s">
        <v>486</v>
      </c>
      <c r="F118" s="26" t="s">
        <v>487</v>
      </c>
      <c r="G118" s="26" t="s">
        <v>488</v>
      </c>
      <c r="H118" s="26" t="s">
        <v>489</v>
      </c>
      <c r="I118" s="26" t="s">
        <v>7</v>
      </c>
      <c r="J118" s="26" t="s">
        <v>490</v>
      </c>
    </row>
    <row r="119" spans="1:10">
      <c r="A119" s="24">
        <v>47</v>
      </c>
      <c r="B119" s="24" t="s">
        <v>288</v>
      </c>
      <c r="C119" s="24" t="s">
        <v>14</v>
      </c>
      <c r="D119" s="25" t="s">
        <v>146</v>
      </c>
      <c r="E119" s="26">
        <v>3</v>
      </c>
      <c r="F119" s="26">
        <v>6</v>
      </c>
      <c r="G119" s="26">
        <v>2</v>
      </c>
      <c r="H119" s="26">
        <v>5</v>
      </c>
      <c r="I119" s="26" t="s">
        <v>6</v>
      </c>
      <c r="J119" s="26" t="s">
        <v>147</v>
      </c>
    </row>
    <row r="120" ht="24" spans="1:10">
      <c r="A120" s="24">
        <v>48</v>
      </c>
      <c r="B120" s="24" t="s">
        <v>288</v>
      </c>
      <c r="C120" s="24" t="s">
        <v>14</v>
      </c>
      <c r="D120" s="25" t="s">
        <v>491</v>
      </c>
      <c r="E120" s="26" t="s">
        <v>492</v>
      </c>
      <c r="F120" s="26" t="s">
        <v>493</v>
      </c>
      <c r="G120" s="26" t="s">
        <v>494</v>
      </c>
      <c r="H120" s="26" t="s">
        <v>495</v>
      </c>
      <c r="I120" s="26" t="s">
        <v>6</v>
      </c>
      <c r="J120" s="26" t="s">
        <v>496</v>
      </c>
    </row>
    <row r="121" ht="24" spans="1:10">
      <c r="A121" s="24">
        <v>49</v>
      </c>
      <c r="B121" s="24" t="s">
        <v>288</v>
      </c>
      <c r="C121" s="24" t="s">
        <v>14</v>
      </c>
      <c r="D121" s="25" t="s">
        <v>497</v>
      </c>
      <c r="E121" s="26" t="s">
        <v>498</v>
      </c>
      <c r="F121" s="26" t="s">
        <v>499</v>
      </c>
      <c r="G121" s="26" t="s">
        <v>500</v>
      </c>
      <c r="H121" s="26" t="s">
        <v>501</v>
      </c>
      <c r="I121" s="26" t="s">
        <v>7</v>
      </c>
      <c r="J121" s="26" t="s">
        <v>502</v>
      </c>
    </row>
    <row r="122" spans="1:10">
      <c r="A122" s="24">
        <v>50</v>
      </c>
      <c r="B122" s="24" t="s">
        <v>288</v>
      </c>
      <c r="C122" s="24" t="s">
        <v>14</v>
      </c>
      <c r="D122" s="25" t="s">
        <v>503</v>
      </c>
      <c r="E122" s="26" t="s">
        <v>504</v>
      </c>
      <c r="F122" s="26" t="s">
        <v>505</v>
      </c>
      <c r="G122" s="26" t="s">
        <v>506</v>
      </c>
      <c r="H122" s="26" t="s">
        <v>507</v>
      </c>
      <c r="I122" s="26" t="s">
        <v>5</v>
      </c>
      <c r="J122" s="26" t="s">
        <v>508</v>
      </c>
    </row>
    <row r="123" ht="36" spans="1:10">
      <c r="A123" s="24">
        <v>51</v>
      </c>
      <c r="B123" s="24" t="s">
        <v>288</v>
      </c>
      <c r="C123" s="24" t="s">
        <v>14</v>
      </c>
      <c r="D123" s="25" t="s">
        <v>509</v>
      </c>
      <c r="E123" s="26" t="s">
        <v>510</v>
      </c>
      <c r="F123" s="26" t="s">
        <v>511</v>
      </c>
      <c r="G123" s="26" t="s">
        <v>512</v>
      </c>
      <c r="H123" s="26" t="s">
        <v>370</v>
      </c>
      <c r="I123" s="26" t="s">
        <v>7</v>
      </c>
      <c r="J123" s="26" t="s">
        <v>513</v>
      </c>
    </row>
    <row r="124" ht="36" spans="1:10">
      <c r="A124" s="24">
        <v>52</v>
      </c>
      <c r="B124" s="24" t="s">
        <v>288</v>
      </c>
      <c r="C124" s="24" t="s">
        <v>14</v>
      </c>
      <c r="D124" s="25" t="s">
        <v>514</v>
      </c>
      <c r="E124" s="26" t="s">
        <v>515</v>
      </c>
      <c r="F124" s="26" t="s">
        <v>516</v>
      </c>
      <c r="G124" s="26" t="s">
        <v>517</v>
      </c>
      <c r="H124" s="26" t="s">
        <v>370</v>
      </c>
      <c r="I124" s="26" t="s">
        <v>6</v>
      </c>
      <c r="J124" s="26" t="s">
        <v>518</v>
      </c>
    </row>
    <row r="125" ht="36" spans="1:10">
      <c r="A125" s="24">
        <v>53</v>
      </c>
      <c r="B125" s="24" t="s">
        <v>288</v>
      </c>
      <c r="C125" s="24" t="s">
        <v>14</v>
      </c>
      <c r="D125" s="25" t="s">
        <v>519</v>
      </c>
      <c r="E125" s="26" t="s">
        <v>520</v>
      </c>
      <c r="F125" s="26" t="s">
        <v>521</v>
      </c>
      <c r="G125" s="26" t="s">
        <v>522</v>
      </c>
      <c r="H125" s="26" t="s">
        <v>370</v>
      </c>
      <c r="I125" s="26" t="s">
        <v>7</v>
      </c>
      <c r="J125" s="26" t="s">
        <v>523</v>
      </c>
    </row>
    <row r="126" ht="36" spans="1:10">
      <c r="A126" s="24">
        <v>54</v>
      </c>
      <c r="B126" s="24" t="s">
        <v>288</v>
      </c>
      <c r="C126" s="24" t="s">
        <v>14</v>
      </c>
      <c r="D126" s="25" t="s">
        <v>524</v>
      </c>
      <c r="E126" s="26" t="s">
        <v>525</v>
      </c>
      <c r="F126" s="26" t="s">
        <v>526</v>
      </c>
      <c r="G126" s="26" t="s">
        <v>527</v>
      </c>
      <c r="H126" s="26" t="s">
        <v>528</v>
      </c>
      <c r="I126" s="26" t="s">
        <v>6</v>
      </c>
      <c r="J126" s="26" t="s">
        <v>529</v>
      </c>
    </row>
    <row r="127" ht="36" spans="1:10">
      <c r="A127" s="24">
        <v>1</v>
      </c>
      <c r="B127" s="24" t="s">
        <v>288</v>
      </c>
      <c r="C127" s="24" t="s">
        <v>150</v>
      </c>
      <c r="D127" s="25" t="s">
        <v>530</v>
      </c>
      <c r="E127" s="26" t="s">
        <v>531</v>
      </c>
      <c r="F127" s="26" t="s">
        <v>532</v>
      </c>
      <c r="G127" s="26" t="s">
        <v>533</v>
      </c>
      <c r="H127" s="26" t="s">
        <v>40</v>
      </c>
      <c r="I127" s="26" t="s">
        <v>534</v>
      </c>
      <c r="J127" s="26">
        <v>4.3</v>
      </c>
    </row>
    <row r="128" ht="84" spans="1:10">
      <c r="A128" s="24">
        <v>2</v>
      </c>
      <c r="B128" s="24" t="s">
        <v>288</v>
      </c>
      <c r="C128" s="24" t="s">
        <v>150</v>
      </c>
      <c r="D128" s="25" t="s">
        <v>535</v>
      </c>
      <c r="E128" s="26" t="s">
        <v>536</v>
      </c>
      <c r="F128" s="26" t="s">
        <v>537</v>
      </c>
      <c r="G128" s="26" t="s">
        <v>538</v>
      </c>
      <c r="H128" s="26" t="s">
        <v>539</v>
      </c>
      <c r="I128" s="26" t="s">
        <v>178</v>
      </c>
      <c r="J128" s="26" t="s">
        <v>300</v>
      </c>
    </row>
    <row r="129" spans="1:10">
      <c r="A129" s="24">
        <v>3</v>
      </c>
      <c r="B129" s="24" t="s">
        <v>288</v>
      </c>
      <c r="C129" s="24" t="s">
        <v>150</v>
      </c>
      <c r="D129" s="25" t="s">
        <v>540</v>
      </c>
      <c r="E129" s="26" t="s">
        <v>541</v>
      </c>
      <c r="F129" s="26" t="s">
        <v>542</v>
      </c>
      <c r="G129" s="26" t="s">
        <v>324</v>
      </c>
      <c r="H129" s="26" t="s">
        <v>325</v>
      </c>
      <c r="I129" s="26" t="s">
        <v>153</v>
      </c>
      <c r="J129" s="26" t="s">
        <v>327</v>
      </c>
    </row>
    <row r="130" ht="36" spans="1:11">
      <c r="A130" s="24">
        <v>4</v>
      </c>
      <c r="B130" s="24" t="s">
        <v>288</v>
      </c>
      <c r="C130" s="24" t="s">
        <v>150</v>
      </c>
      <c r="D130" s="25" t="s">
        <v>543</v>
      </c>
      <c r="E130" s="26" t="s">
        <v>175</v>
      </c>
      <c r="F130" s="26" t="s">
        <v>544</v>
      </c>
      <c r="G130" s="26" t="s">
        <v>176</v>
      </c>
      <c r="H130" s="26" t="s">
        <v>177</v>
      </c>
      <c r="I130" s="26" t="s">
        <v>203</v>
      </c>
      <c r="J130" s="26" t="s">
        <v>179</v>
      </c>
      <c r="K130" s="22">
        <v>1</v>
      </c>
    </row>
    <row r="131" ht="36" spans="1:10">
      <c r="A131" s="24">
        <v>5</v>
      </c>
      <c r="B131" s="24" t="s">
        <v>288</v>
      </c>
      <c r="C131" s="24" t="s">
        <v>150</v>
      </c>
      <c r="D131" s="25" t="s">
        <v>545</v>
      </c>
      <c r="E131" s="26" t="s">
        <v>546</v>
      </c>
      <c r="F131" s="26" t="s">
        <v>73</v>
      </c>
      <c r="G131" s="26" t="s">
        <v>33</v>
      </c>
      <c r="H131" s="26" t="s">
        <v>30</v>
      </c>
      <c r="I131" s="26" t="s">
        <v>534</v>
      </c>
      <c r="J131" s="26" t="s">
        <v>81</v>
      </c>
    </row>
    <row r="132" ht="36" spans="1:10">
      <c r="A132" s="24">
        <v>6</v>
      </c>
      <c r="B132" s="24" t="s">
        <v>288</v>
      </c>
      <c r="C132" s="24" t="s">
        <v>150</v>
      </c>
      <c r="D132" s="25" t="s">
        <v>186</v>
      </c>
      <c r="E132" s="26" t="s">
        <v>547</v>
      </c>
      <c r="F132" s="26" t="s">
        <v>188</v>
      </c>
      <c r="G132" s="26" t="s">
        <v>189</v>
      </c>
      <c r="H132" s="26" t="s">
        <v>190</v>
      </c>
      <c r="I132" s="26" t="s">
        <v>172</v>
      </c>
      <c r="J132" s="26" t="s">
        <v>191</v>
      </c>
    </row>
    <row r="133" ht="36" spans="1:10">
      <c r="A133" s="27">
        <v>7</v>
      </c>
      <c r="B133" s="27" t="s">
        <v>288</v>
      </c>
      <c r="C133" s="27" t="s">
        <v>150</v>
      </c>
      <c r="D133" s="28" t="s">
        <v>548</v>
      </c>
      <c r="E133" s="29" t="s">
        <v>549</v>
      </c>
      <c r="F133" s="29" t="s">
        <v>550</v>
      </c>
      <c r="G133" s="29" t="s">
        <v>551</v>
      </c>
      <c r="H133" s="29" t="s">
        <v>552</v>
      </c>
      <c r="I133" s="29" t="s">
        <v>178</v>
      </c>
      <c r="J133" s="29" t="s">
        <v>197</v>
      </c>
    </row>
    <row r="134" spans="1:10">
      <c r="A134" s="24">
        <v>8</v>
      </c>
      <c r="B134" s="24" t="s">
        <v>288</v>
      </c>
      <c r="C134" s="24" t="s">
        <v>150</v>
      </c>
      <c r="D134" s="25" t="s">
        <v>553</v>
      </c>
      <c r="E134" s="26" t="s">
        <v>554</v>
      </c>
      <c r="F134" s="26" t="s">
        <v>555</v>
      </c>
      <c r="G134" s="26" t="s">
        <v>556</v>
      </c>
      <c r="H134" s="26" t="s">
        <v>557</v>
      </c>
      <c r="I134" s="26" t="s">
        <v>178</v>
      </c>
      <c r="J134" s="26" t="s">
        <v>101</v>
      </c>
    </row>
    <row r="135" ht="24" spans="1:10">
      <c r="A135" s="24">
        <v>9</v>
      </c>
      <c r="B135" s="24" t="s">
        <v>288</v>
      </c>
      <c r="C135" s="24" t="s">
        <v>150</v>
      </c>
      <c r="D135" s="25" t="s">
        <v>558</v>
      </c>
      <c r="E135" s="26" t="s">
        <v>559</v>
      </c>
      <c r="F135" s="26" t="s">
        <v>560</v>
      </c>
      <c r="G135" s="26" t="s">
        <v>561</v>
      </c>
      <c r="H135" s="26" t="s">
        <v>562</v>
      </c>
      <c r="I135" s="26" t="s">
        <v>178</v>
      </c>
      <c r="J135" s="26" t="s">
        <v>563</v>
      </c>
    </row>
    <row r="136" ht="24" spans="1:10">
      <c r="A136" s="24">
        <v>10</v>
      </c>
      <c r="B136" s="24" t="s">
        <v>288</v>
      </c>
      <c r="C136" s="24" t="s">
        <v>150</v>
      </c>
      <c r="D136" s="25" t="s">
        <v>564</v>
      </c>
      <c r="E136" s="26" t="s">
        <v>565</v>
      </c>
      <c r="F136" s="26" t="s">
        <v>73</v>
      </c>
      <c r="G136" s="26" t="s">
        <v>566</v>
      </c>
      <c r="H136" s="26" t="s">
        <v>567</v>
      </c>
      <c r="I136" s="26" t="s">
        <v>534</v>
      </c>
      <c r="J136" s="26" t="s">
        <v>568</v>
      </c>
    </row>
    <row r="137" ht="36" spans="1:10">
      <c r="A137" s="24">
        <v>11</v>
      </c>
      <c r="B137" s="24" t="s">
        <v>288</v>
      </c>
      <c r="C137" s="24" t="s">
        <v>150</v>
      </c>
      <c r="D137" s="25" t="s">
        <v>569</v>
      </c>
      <c r="E137" s="26" t="s">
        <v>570</v>
      </c>
      <c r="F137" s="26" t="s">
        <v>571</v>
      </c>
      <c r="G137" s="26" t="s">
        <v>572</v>
      </c>
      <c r="H137" s="26" t="s">
        <v>573</v>
      </c>
      <c r="I137" s="26" t="s">
        <v>178</v>
      </c>
      <c r="J137" s="26" t="s">
        <v>574</v>
      </c>
    </row>
    <row r="138" ht="24" spans="1:10">
      <c r="A138" s="24">
        <v>12</v>
      </c>
      <c r="B138" s="24" t="s">
        <v>288</v>
      </c>
      <c r="C138" s="24" t="s">
        <v>150</v>
      </c>
      <c r="D138" s="25" t="s">
        <v>575</v>
      </c>
      <c r="E138" s="26" t="s">
        <v>541</v>
      </c>
      <c r="F138" s="26" t="s">
        <v>542</v>
      </c>
      <c r="G138" s="26" t="s">
        <v>477</v>
      </c>
      <c r="H138" s="26" t="s">
        <v>576</v>
      </c>
      <c r="I138" s="26" t="s">
        <v>178</v>
      </c>
      <c r="J138" s="26" t="s">
        <v>577</v>
      </c>
    </row>
    <row r="139" ht="60" spans="1:10">
      <c r="A139" s="24">
        <v>13</v>
      </c>
      <c r="B139" s="24" t="s">
        <v>288</v>
      </c>
      <c r="C139" s="24" t="s">
        <v>150</v>
      </c>
      <c r="D139" s="25" t="s">
        <v>578</v>
      </c>
      <c r="E139" s="26" t="s">
        <v>579</v>
      </c>
      <c r="F139" s="26" t="s">
        <v>580</v>
      </c>
      <c r="G139" s="26" t="s">
        <v>581</v>
      </c>
      <c r="H139" s="26" t="s">
        <v>582</v>
      </c>
      <c r="I139" s="26" t="s">
        <v>178</v>
      </c>
      <c r="J139" s="26" t="s">
        <v>583</v>
      </c>
    </row>
    <row r="140" ht="48" spans="1:10">
      <c r="A140" s="24">
        <v>14</v>
      </c>
      <c r="B140" s="24" t="s">
        <v>288</v>
      </c>
      <c r="C140" s="24" t="s">
        <v>150</v>
      </c>
      <c r="D140" s="25" t="s">
        <v>584</v>
      </c>
      <c r="E140" s="26" t="s">
        <v>585</v>
      </c>
      <c r="F140" s="26" t="s">
        <v>586</v>
      </c>
      <c r="G140" s="26" t="s">
        <v>587</v>
      </c>
      <c r="H140" s="26" t="s">
        <v>588</v>
      </c>
      <c r="I140" s="26" t="s">
        <v>153</v>
      </c>
      <c r="J140" s="26" t="s">
        <v>589</v>
      </c>
    </row>
    <row r="141" ht="60" spans="1:10">
      <c r="A141" s="24">
        <v>15</v>
      </c>
      <c r="B141" s="24" t="s">
        <v>288</v>
      </c>
      <c r="C141" s="24" t="s">
        <v>150</v>
      </c>
      <c r="D141" s="25" t="s">
        <v>590</v>
      </c>
      <c r="E141" s="26" t="s">
        <v>591</v>
      </c>
      <c r="F141" s="26" t="s">
        <v>462</v>
      </c>
      <c r="G141" s="26" t="s">
        <v>592</v>
      </c>
      <c r="H141" s="26" t="s">
        <v>593</v>
      </c>
      <c r="I141" s="26" t="s">
        <v>178</v>
      </c>
      <c r="J141" s="26" t="s">
        <v>383</v>
      </c>
    </row>
    <row r="142" ht="36" spans="1:10">
      <c r="A142" s="24">
        <v>16</v>
      </c>
      <c r="B142" s="24" t="s">
        <v>288</v>
      </c>
      <c r="C142" s="24" t="s">
        <v>150</v>
      </c>
      <c r="D142" s="25" t="s">
        <v>594</v>
      </c>
      <c r="E142" s="26" t="s">
        <v>595</v>
      </c>
      <c r="F142" s="26" t="s">
        <v>596</v>
      </c>
      <c r="G142" s="26" t="s">
        <v>597</v>
      </c>
      <c r="H142" s="26" t="s">
        <v>598</v>
      </c>
      <c r="I142" s="26" t="s">
        <v>178</v>
      </c>
      <c r="J142" s="26" t="s">
        <v>599</v>
      </c>
    </row>
    <row r="143" ht="24" spans="1:10">
      <c r="A143" s="24">
        <v>17</v>
      </c>
      <c r="B143" s="24" t="s">
        <v>288</v>
      </c>
      <c r="C143" s="24" t="s">
        <v>150</v>
      </c>
      <c r="D143" s="25" t="s">
        <v>600</v>
      </c>
      <c r="E143" s="26" t="s">
        <v>601</v>
      </c>
      <c r="F143" s="26" t="s">
        <v>602</v>
      </c>
      <c r="G143" s="26" t="s">
        <v>603</v>
      </c>
      <c r="H143" s="26" t="s">
        <v>604</v>
      </c>
      <c r="I143" s="26" t="s">
        <v>172</v>
      </c>
      <c r="J143" s="26" t="s">
        <v>605</v>
      </c>
    </row>
    <row r="144" ht="36" spans="1:10">
      <c r="A144" s="24">
        <v>18</v>
      </c>
      <c r="B144" s="24" t="s">
        <v>288</v>
      </c>
      <c r="C144" s="24" t="s">
        <v>150</v>
      </c>
      <c r="D144" s="25" t="s">
        <v>606</v>
      </c>
      <c r="E144" s="26" t="s">
        <v>607</v>
      </c>
      <c r="F144" s="26" t="s">
        <v>608</v>
      </c>
      <c r="G144" s="26" t="s">
        <v>609</v>
      </c>
      <c r="H144" s="26" t="s">
        <v>610</v>
      </c>
      <c r="I144" s="26" t="s">
        <v>178</v>
      </c>
      <c r="J144" s="26" t="s">
        <v>611</v>
      </c>
    </row>
    <row r="145" ht="36" spans="1:10">
      <c r="A145" s="24">
        <v>19</v>
      </c>
      <c r="B145" s="24" t="s">
        <v>288</v>
      </c>
      <c r="C145" s="24" t="s">
        <v>150</v>
      </c>
      <c r="D145" s="25" t="s">
        <v>612</v>
      </c>
      <c r="E145" s="26" t="s">
        <v>613</v>
      </c>
      <c r="F145" s="26" t="s">
        <v>614</v>
      </c>
      <c r="G145" s="26" t="s">
        <v>615</v>
      </c>
      <c r="H145" s="26" t="s">
        <v>541</v>
      </c>
      <c r="I145" s="26" t="s">
        <v>616</v>
      </c>
      <c r="J145" s="26" t="s">
        <v>617</v>
      </c>
    </row>
    <row r="146" ht="36" spans="1:10">
      <c r="A146" s="24">
        <v>20</v>
      </c>
      <c r="B146" s="24" t="s">
        <v>288</v>
      </c>
      <c r="C146" s="24" t="s">
        <v>150</v>
      </c>
      <c r="D146" s="25" t="s">
        <v>618</v>
      </c>
      <c r="E146" s="26" t="s">
        <v>619</v>
      </c>
      <c r="F146" s="26" t="s">
        <v>620</v>
      </c>
      <c r="G146" s="26" t="s">
        <v>621</v>
      </c>
      <c r="H146" s="26" t="s">
        <v>622</v>
      </c>
      <c r="I146" s="26" t="s">
        <v>178</v>
      </c>
      <c r="J146" s="26" t="s">
        <v>432</v>
      </c>
    </row>
    <row r="147" spans="1:10">
      <c r="A147" s="24">
        <v>21</v>
      </c>
      <c r="B147" s="24" t="s">
        <v>288</v>
      </c>
      <c r="C147" s="24" t="s">
        <v>150</v>
      </c>
      <c r="D147" s="25" t="s">
        <v>623</v>
      </c>
      <c r="E147" s="26" t="s">
        <v>624</v>
      </c>
      <c r="F147" s="26" t="s">
        <v>625</v>
      </c>
      <c r="G147" s="26" t="s">
        <v>626</v>
      </c>
      <c r="H147" s="26" t="s">
        <v>350</v>
      </c>
      <c r="I147" s="26" t="s">
        <v>153</v>
      </c>
      <c r="J147" s="26" t="s">
        <v>627</v>
      </c>
    </row>
    <row r="148" spans="1:10">
      <c r="A148" s="24">
        <v>22</v>
      </c>
      <c r="B148" s="24" t="s">
        <v>288</v>
      </c>
      <c r="C148" s="24" t="s">
        <v>150</v>
      </c>
      <c r="D148" s="25" t="s">
        <v>628</v>
      </c>
      <c r="E148" s="26" t="s">
        <v>629</v>
      </c>
      <c r="F148" s="26" t="s">
        <v>630</v>
      </c>
      <c r="G148" s="26" t="s">
        <v>631</v>
      </c>
      <c r="H148" s="26" t="s">
        <v>632</v>
      </c>
      <c r="I148" s="26" t="s">
        <v>203</v>
      </c>
      <c r="J148" s="26" t="s">
        <v>633</v>
      </c>
    </row>
    <row r="149" ht="24" spans="1:10">
      <c r="A149" s="24">
        <v>23</v>
      </c>
      <c r="B149" s="24" t="s">
        <v>288</v>
      </c>
      <c r="C149" s="24" t="s">
        <v>150</v>
      </c>
      <c r="D149" s="25" t="s">
        <v>634</v>
      </c>
      <c r="E149" s="26" t="s">
        <v>635</v>
      </c>
      <c r="F149" s="26" t="s">
        <v>636</v>
      </c>
      <c r="G149" s="26" t="s">
        <v>637</v>
      </c>
      <c r="H149" s="26" t="s">
        <v>638</v>
      </c>
      <c r="I149" s="26" t="s">
        <v>153</v>
      </c>
      <c r="J149" s="26" t="s">
        <v>472</v>
      </c>
    </row>
    <row r="150" spans="1:10">
      <c r="A150" s="24">
        <v>24</v>
      </c>
      <c r="B150" s="24" t="s">
        <v>288</v>
      </c>
      <c r="C150" s="24" t="s">
        <v>150</v>
      </c>
      <c r="D150" s="25" t="s">
        <v>639</v>
      </c>
      <c r="E150" s="26" t="s">
        <v>640</v>
      </c>
      <c r="F150" s="26" t="s">
        <v>641</v>
      </c>
      <c r="G150" s="26" t="s">
        <v>642</v>
      </c>
      <c r="H150" s="26" t="s">
        <v>643</v>
      </c>
      <c r="I150" s="26" t="s">
        <v>178</v>
      </c>
      <c r="J150" s="26" t="s">
        <v>644</v>
      </c>
    </row>
    <row r="151" ht="24" spans="1:10">
      <c r="A151" s="24">
        <v>25</v>
      </c>
      <c r="B151" s="24" t="s">
        <v>288</v>
      </c>
      <c r="C151" s="24" t="s">
        <v>150</v>
      </c>
      <c r="D151" s="25" t="s">
        <v>645</v>
      </c>
      <c r="E151" s="26" t="s">
        <v>646</v>
      </c>
      <c r="F151" s="26" t="s">
        <v>647</v>
      </c>
      <c r="G151" s="26" t="s">
        <v>648</v>
      </c>
      <c r="H151" s="26" t="s">
        <v>649</v>
      </c>
      <c r="I151" s="26" t="s">
        <v>153</v>
      </c>
      <c r="J151" s="26" t="s">
        <v>650</v>
      </c>
    </row>
    <row r="152" ht="24" spans="1:10">
      <c r="A152" s="24">
        <v>26</v>
      </c>
      <c r="B152" s="24" t="s">
        <v>288</v>
      </c>
      <c r="C152" s="24" t="s">
        <v>150</v>
      </c>
      <c r="D152" s="25" t="s">
        <v>651</v>
      </c>
      <c r="E152" s="26" t="s">
        <v>652</v>
      </c>
      <c r="F152" s="26" t="s">
        <v>653</v>
      </c>
      <c r="G152" s="26" t="s">
        <v>654</v>
      </c>
      <c r="H152" s="26" t="s">
        <v>655</v>
      </c>
      <c r="I152" s="26" t="s">
        <v>178</v>
      </c>
      <c r="J152" s="26" t="s">
        <v>656</v>
      </c>
    </row>
    <row r="153" ht="60" spans="1:10">
      <c r="A153" s="24">
        <v>27</v>
      </c>
      <c r="B153" s="24" t="s">
        <v>288</v>
      </c>
      <c r="C153" s="24" t="s">
        <v>150</v>
      </c>
      <c r="D153" s="25" t="s">
        <v>657</v>
      </c>
      <c r="E153" s="26" t="s">
        <v>658</v>
      </c>
      <c r="F153" s="26" t="s">
        <v>659</v>
      </c>
      <c r="G153" s="26" t="s">
        <v>660</v>
      </c>
      <c r="H153" s="26" t="s">
        <v>661</v>
      </c>
      <c r="I153" s="26" t="s">
        <v>153</v>
      </c>
      <c r="J153" s="26" t="s">
        <v>662</v>
      </c>
    </row>
    <row r="154" ht="36" spans="1:10">
      <c r="A154" s="24">
        <v>28</v>
      </c>
      <c r="B154" s="24" t="s">
        <v>288</v>
      </c>
      <c r="C154" s="24" t="s">
        <v>150</v>
      </c>
      <c r="D154" s="25" t="s">
        <v>663</v>
      </c>
      <c r="E154" s="26" t="s">
        <v>542</v>
      </c>
      <c r="F154" s="26" t="s">
        <v>664</v>
      </c>
      <c r="G154" s="26" t="s">
        <v>665</v>
      </c>
      <c r="H154" s="26" t="s">
        <v>323</v>
      </c>
      <c r="I154" s="26" t="s">
        <v>153</v>
      </c>
      <c r="J154" s="26" t="s">
        <v>666</v>
      </c>
    </row>
    <row r="155" ht="48" spans="1:10">
      <c r="A155" s="24">
        <v>29</v>
      </c>
      <c r="B155" s="24" t="s">
        <v>288</v>
      </c>
      <c r="C155" s="24" t="s">
        <v>150</v>
      </c>
      <c r="D155" s="25" t="s">
        <v>667</v>
      </c>
      <c r="E155" s="26" t="s">
        <v>28</v>
      </c>
      <c r="F155" s="26" t="s">
        <v>668</v>
      </c>
      <c r="G155" s="26" t="s">
        <v>669</v>
      </c>
      <c r="H155" s="26" t="s">
        <v>670</v>
      </c>
      <c r="I155" s="26" t="s">
        <v>233</v>
      </c>
      <c r="J155" s="26" t="s">
        <v>671</v>
      </c>
    </row>
    <row r="156" ht="36" spans="1:10">
      <c r="A156" s="24">
        <v>1</v>
      </c>
      <c r="B156" s="24" t="s">
        <v>288</v>
      </c>
      <c r="C156" s="24" t="s">
        <v>254</v>
      </c>
      <c r="D156" s="25" t="s">
        <v>672</v>
      </c>
      <c r="E156" s="26" t="s">
        <v>256</v>
      </c>
      <c r="F156" s="26" t="s">
        <v>257</v>
      </c>
      <c r="G156" s="26"/>
      <c r="H156" s="26"/>
      <c r="I156" s="26" t="s">
        <v>5</v>
      </c>
      <c r="J156" s="26" t="s">
        <v>312</v>
      </c>
    </row>
    <row r="157" ht="36" spans="1:10">
      <c r="A157" s="24">
        <v>2</v>
      </c>
      <c r="B157" s="24" t="s">
        <v>288</v>
      </c>
      <c r="C157" s="24" t="s">
        <v>254</v>
      </c>
      <c r="D157" s="25" t="s">
        <v>673</v>
      </c>
      <c r="E157" s="26" t="s">
        <v>256</v>
      </c>
      <c r="F157" s="26" t="s">
        <v>257</v>
      </c>
      <c r="G157" s="26"/>
      <c r="H157" s="26"/>
      <c r="I157" s="26" t="s">
        <v>5</v>
      </c>
      <c r="J157" s="26" t="s">
        <v>317</v>
      </c>
    </row>
    <row r="158" ht="36" spans="1:10">
      <c r="A158" s="24">
        <v>3</v>
      </c>
      <c r="B158" s="24" t="s">
        <v>288</v>
      </c>
      <c r="C158" s="24" t="s">
        <v>254</v>
      </c>
      <c r="D158" s="25" t="s">
        <v>674</v>
      </c>
      <c r="E158" s="26" t="s">
        <v>256</v>
      </c>
      <c r="F158" s="26" t="s">
        <v>257</v>
      </c>
      <c r="G158" s="26"/>
      <c r="H158" s="26"/>
      <c r="I158" s="26" t="s">
        <v>6</v>
      </c>
      <c r="J158" s="26" t="s">
        <v>331</v>
      </c>
    </row>
    <row r="159" ht="24" spans="1:10">
      <c r="A159" s="24">
        <v>4</v>
      </c>
      <c r="B159" s="24" t="s">
        <v>288</v>
      </c>
      <c r="C159" s="24" t="s">
        <v>254</v>
      </c>
      <c r="D159" s="25" t="s">
        <v>675</v>
      </c>
      <c r="E159" s="26" t="s">
        <v>256</v>
      </c>
      <c r="F159" s="26" t="s">
        <v>257</v>
      </c>
      <c r="G159" s="26"/>
      <c r="H159" s="26"/>
      <c r="I159" s="26" t="s">
        <v>5</v>
      </c>
      <c r="J159" s="26" t="s">
        <v>676</v>
      </c>
    </row>
    <row r="160" ht="24" spans="1:10">
      <c r="A160" s="24">
        <v>5</v>
      </c>
      <c r="B160" s="24" t="s">
        <v>288</v>
      </c>
      <c r="C160" s="24" t="s">
        <v>254</v>
      </c>
      <c r="D160" s="25" t="s">
        <v>677</v>
      </c>
      <c r="E160" s="26" t="s">
        <v>256</v>
      </c>
      <c r="F160" s="26" t="s">
        <v>257</v>
      </c>
      <c r="G160" s="26"/>
      <c r="H160" s="26"/>
      <c r="I160" s="26" t="s">
        <v>6</v>
      </c>
      <c r="J160" s="26" t="s">
        <v>357</v>
      </c>
    </row>
    <row r="161" ht="24" spans="1:10">
      <c r="A161" s="24">
        <v>6</v>
      </c>
      <c r="B161" s="24" t="s">
        <v>288</v>
      </c>
      <c r="C161" s="24" t="s">
        <v>254</v>
      </c>
      <c r="D161" s="25" t="s">
        <v>678</v>
      </c>
      <c r="E161" s="26" t="s">
        <v>256</v>
      </c>
      <c r="F161" s="26" t="s">
        <v>257</v>
      </c>
      <c r="G161" s="26"/>
      <c r="H161" s="26"/>
      <c r="I161" s="26" t="s">
        <v>5</v>
      </c>
      <c r="J161" s="26" t="s">
        <v>679</v>
      </c>
    </row>
    <row r="162" ht="24" spans="1:10">
      <c r="A162" s="24">
        <v>7</v>
      </c>
      <c r="B162" s="24" t="s">
        <v>288</v>
      </c>
      <c r="C162" s="24" t="s">
        <v>254</v>
      </c>
      <c r="D162" s="25" t="s">
        <v>680</v>
      </c>
      <c r="E162" s="26" t="s">
        <v>256</v>
      </c>
      <c r="F162" s="26" t="s">
        <v>257</v>
      </c>
      <c r="G162" s="26"/>
      <c r="H162" s="26"/>
      <c r="I162" s="26" t="s">
        <v>6</v>
      </c>
      <c r="J162" s="26" t="s">
        <v>681</v>
      </c>
    </row>
    <row r="163" ht="24" spans="1:10">
      <c r="A163" s="24">
        <v>8</v>
      </c>
      <c r="B163" s="24" t="s">
        <v>288</v>
      </c>
      <c r="C163" s="24" t="s">
        <v>254</v>
      </c>
      <c r="D163" s="25" t="s">
        <v>682</v>
      </c>
      <c r="E163" s="26" t="s">
        <v>256</v>
      </c>
      <c r="F163" s="26" t="s">
        <v>257</v>
      </c>
      <c r="G163" s="26"/>
      <c r="H163" s="26"/>
      <c r="I163" s="26" t="s">
        <v>5</v>
      </c>
      <c r="J163" s="26" t="s">
        <v>683</v>
      </c>
    </row>
    <row r="164" spans="1:10">
      <c r="A164" s="24">
        <v>9</v>
      </c>
      <c r="B164" s="24" t="s">
        <v>288</v>
      </c>
      <c r="C164" s="24" t="s">
        <v>254</v>
      </c>
      <c r="D164" s="25" t="s">
        <v>684</v>
      </c>
      <c r="E164" s="26" t="s">
        <v>256</v>
      </c>
      <c r="F164" s="26" t="s">
        <v>257</v>
      </c>
      <c r="G164" s="26"/>
      <c r="H164" s="26"/>
      <c r="I164" s="26" t="s">
        <v>5</v>
      </c>
      <c r="J164" s="26" t="s">
        <v>387</v>
      </c>
    </row>
    <row r="165" ht="24" spans="1:10">
      <c r="A165" s="24">
        <v>10</v>
      </c>
      <c r="B165" s="24" t="s">
        <v>288</v>
      </c>
      <c r="C165" s="24" t="s">
        <v>254</v>
      </c>
      <c r="D165" s="25" t="s">
        <v>685</v>
      </c>
      <c r="E165" s="26" t="s">
        <v>256</v>
      </c>
      <c r="F165" s="26" t="s">
        <v>257</v>
      </c>
      <c r="G165" s="26"/>
      <c r="H165" s="26"/>
      <c r="I165" s="26" t="s">
        <v>6</v>
      </c>
      <c r="J165" s="26" t="s">
        <v>686</v>
      </c>
    </row>
    <row r="166" spans="1:10">
      <c r="A166" s="24">
        <v>11</v>
      </c>
      <c r="B166" s="24" t="s">
        <v>288</v>
      </c>
      <c r="C166" s="24" t="s">
        <v>254</v>
      </c>
      <c r="D166" s="25" t="s">
        <v>687</v>
      </c>
      <c r="E166" s="26" t="s">
        <v>256</v>
      </c>
      <c r="F166" s="26" t="s">
        <v>257</v>
      </c>
      <c r="G166" s="26"/>
      <c r="H166" s="26"/>
      <c r="I166" s="26" t="s">
        <v>5</v>
      </c>
      <c r="J166" s="26" t="s">
        <v>688</v>
      </c>
    </row>
    <row r="167" spans="1:10">
      <c r="A167" s="24">
        <v>12</v>
      </c>
      <c r="B167" s="24" t="s">
        <v>288</v>
      </c>
      <c r="C167" s="24" t="s">
        <v>254</v>
      </c>
      <c r="D167" s="25" t="s">
        <v>689</v>
      </c>
      <c r="E167" s="26" t="s">
        <v>256</v>
      </c>
      <c r="F167" s="26" t="s">
        <v>257</v>
      </c>
      <c r="G167" s="26"/>
      <c r="H167" s="26"/>
      <c r="I167" s="26" t="s">
        <v>5</v>
      </c>
      <c r="J167" s="26" t="s">
        <v>611</v>
      </c>
    </row>
    <row r="168" spans="1:10">
      <c r="A168" s="24">
        <v>13</v>
      </c>
      <c r="B168" s="24" t="s">
        <v>288</v>
      </c>
      <c r="C168" s="24" t="s">
        <v>254</v>
      </c>
      <c r="D168" s="25" t="s">
        <v>690</v>
      </c>
      <c r="E168" s="26" t="s">
        <v>256</v>
      </c>
      <c r="F168" s="26" t="s">
        <v>257</v>
      </c>
      <c r="G168" s="26"/>
      <c r="H168" s="26"/>
      <c r="I168" s="26" t="s">
        <v>5</v>
      </c>
      <c r="J168" s="26" t="s">
        <v>432</v>
      </c>
    </row>
    <row r="169" spans="1:10">
      <c r="A169" s="24">
        <v>14</v>
      </c>
      <c r="B169" s="24" t="s">
        <v>288</v>
      </c>
      <c r="C169" s="24" t="s">
        <v>254</v>
      </c>
      <c r="D169" s="25" t="s">
        <v>691</v>
      </c>
      <c r="E169" s="26" t="s">
        <v>256</v>
      </c>
      <c r="F169" s="26" t="s">
        <v>257</v>
      </c>
      <c r="G169" s="26"/>
      <c r="H169" s="26"/>
      <c r="I169" s="26" t="s">
        <v>5</v>
      </c>
      <c r="J169" s="26" t="s">
        <v>692</v>
      </c>
    </row>
    <row r="170" ht="24" spans="1:10">
      <c r="A170" s="24">
        <v>15</v>
      </c>
      <c r="B170" s="24" t="s">
        <v>288</v>
      </c>
      <c r="C170" s="24" t="s">
        <v>254</v>
      </c>
      <c r="D170" s="25" t="s">
        <v>693</v>
      </c>
      <c r="E170" s="26" t="s">
        <v>256</v>
      </c>
      <c r="F170" s="26" t="s">
        <v>257</v>
      </c>
      <c r="G170" s="26"/>
      <c r="H170" s="26"/>
      <c r="I170" s="26" t="s">
        <v>5</v>
      </c>
      <c r="J170" s="26" t="s">
        <v>694</v>
      </c>
    </row>
    <row r="171" ht="24" spans="1:10">
      <c r="A171" s="24">
        <v>16</v>
      </c>
      <c r="B171" s="24" t="s">
        <v>288</v>
      </c>
      <c r="C171" s="24" t="s">
        <v>254</v>
      </c>
      <c r="D171" s="25" t="s">
        <v>695</v>
      </c>
      <c r="E171" s="26" t="s">
        <v>256</v>
      </c>
      <c r="F171" s="26" t="s">
        <v>257</v>
      </c>
      <c r="G171" s="26"/>
      <c r="H171" s="26"/>
      <c r="I171" s="26" t="s">
        <v>6</v>
      </c>
      <c r="J171" s="26" t="s">
        <v>696</v>
      </c>
    </row>
    <row r="172" ht="24" spans="1:10">
      <c r="A172" s="24">
        <v>17</v>
      </c>
      <c r="B172" s="24" t="s">
        <v>288</v>
      </c>
      <c r="C172" s="24" t="s">
        <v>254</v>
      </c>
      <c r="D172" s="25" t="s">
        <v>697</v>
      </c>
      <c r="E172" s="26" t="s">
        <v>256</v>
      </c>
      <c r="F172" s="26" t="s">
        <v>257</v>
      </c>
      <c r="G172" s="26"/>
      <c r="H172" s="26"/>
      <c r="I172" s="26" t="s">
        <v>5</v>
      </c>
      <c r="J172" s="26" t="s">
        <v>283</v>
      </c>
    </row>
    <row r="173" spans="1:10">
      <c r="A173" s="24">
        <v>18</v>
      </c>
      <c r="B173" s="24" t="s">
        <v>288</v>
      </c>
      <c r="C173" s="24" t="s">
        <v>254</v>
      </c>
      <c r="D173" s="25" t="s">
        <v>698</v>
      </c>
      <c r="E173" s="26" t="s">
        <v>256</v>
      </c>
      <c r="F173" s="26" t="s">
        <v>257</v>
      </c>
      <c r="G173" s="26"/>
      <c r="H173" s="26"/>
      <c r="I173" s="26" t="s">
        <v>5</v>
      </c>
      <c r="J173" s="26" t="s">
        <v>699</v>
      </c>
    </row>
    <row r="174" ht="24" spans="1:10">
      <c r="A174" s="24">
        <v>19</v>
      </c>
      <c r="B174" s="24" t="s">
        <v>288</v>
      </c>
      <c r="C174" s="24" t="s">
        <v>254</v>
      </c>
      <c r="D174" s="25" t="s">
        <v>700</v>
      </c>
      <c r="E174" s="26" t="s">
        <v>256</v>
      </c>
      <c r="F174" s="26" t="s">
        <v>257</v>
      </c>
      <c r="G174" s="26"/>
      <c r="H174" s="26"/>
      <c r="I174" s="26" t="s">
        <v>5</v>
      </c>
      <c r="J174" s="26" t="s">
        <v>701</v>
      </c>
    </row>
    <row r="175" ht="24" spans="1:10">
      <c r="A175" s="24">
        <v>20</v>
      </c>
      <c r="B175" s="24" t="s">
        <v>288</v>
      </c>
      <c r="C175" s="24" t="s">
        <v>254</v>
      </c>
      <c r="D175" s="25" t="s">
        <v>702</v>
      </c>
      <c r="E175" s="26" t="s">
        <v>256</v>
      </c>
      <c r="F175" s="26" t="s">
        <v>257</v>
      </c>
      <c r="G175" s="26"/>
      <c r="H175" s="26"/>
      <c r="I175" s="26" t="s">
        <v>5</v>
      </c>
      <c r="J175" s="26" t="s">
        <v>703</v>
      </c>
    </row>
    <row r="176" ht="120" spans="1:11">
      <c r="A176" s="30">
        <v>1</v>
      </c>
      <c r="B176" s="24" t="s">
        <v>704</v>
      </c>
      <c r="C176" s="24" t="s">
        <v>14</v>
      </c>
      <c r="D176" s="31" t="s">
        <v>705</v>
      </c>
      <c r="E176" s="26" t="s">
        <v>706</v>
      </c>
      <c r="F176" s="26" t="s">
        <v>707</v>
      </c>
      <c r="G176" s="26" t="s">
        <v>708</v>
      </c>
      <c r="H176" s="26" t="s">
        <v>709</v>
      </c>
      <c r="I176" s="26" t="s">
        <v>7</v>
      </c>
      <c r="J176" s="26"/>
      <c r="K176" s="34"/>
    </row>
    <row r="177" ht="132" spans="1:11">
      <c r="A177" s="30">
        <v>2</v>
      </c>
      <c r="B177" s="24" t="s">
        <v>704</v>
      </c>
      <c r="C177" s="24" t="s">
        <v>14</v>
      </c>
      <c r="D177" s="31" t="s">
        <v>710</v>
      </c>
      <c r="E177" s="26" t="s">
        <v>711</v>
      </c>
      <c r="F177" s="26" t="s">
        <v>712</v>
      </c>
      <c r="G177" s="26" t="s">
        <v>713</v>
      </c>
      <c r="H177" s="26" t="s">
        <v>714</v>
      </c>
      <c r="I177" s="26" t="s">
        <v>5</v>
      </c>
      <c r="J177" s="26"/>
      <c r="K177" s="34"/>
    </row>
    <row r="178" ht="132" spans="1:11">
      <c r="A178" s="30">
        <v>3</v>
      </c>
      <c r="B178" s="24" t="s">
        <v>704</v>
      </c>
      <c r="C178" s="24" t="s">
        <v>14</v>
      </c>
      <c r="D178" s="31" t="s">
        <v>715</v>
      </c>
      <c r="E178" s="26" t="s">
        <v>716</v>
      </c>
      <c r="F178" s="26" t="s">
        <v>717</v>
      </c>
      <c r="G178" s="26" t="s">
        <v>718</v>
      </c>
      <c r="H178" s="26" t="s">
        <v>719</v>
      </c>
      <c r="I178" s="26" t="s">
        <v>6</v>
      </c>
      <c r="J178" s="26"/>
      <c r="K178" s="34"/>
    </row>
    <row r="179" ht="120" spans="1:11">
      <c r="A179" s="30">
        <v>4</v>
      </c>
      <c r="B179" s="24" t="s">
        <v>704</v>
      </c>
      <c r="C179" s="24" t="s">
        <v>14</v>
      </c>
      <c r="D179" s="31" t="s">
        <v>720</v>
      </c>
      <c r="E179" s="26" t="s">
        <v>721</v>
      </c>
      <c r="F179" s="26" t="s">
        <v>604</v>
      </c>
      <c r="G179" s="26" t="s">
        <v>722</v>
      </c>
      <c r="H179" s="26" t="s">
        <v>603</v>
      </c>
      <c r="I179" s="26" t="s">
        <v>7</v>
      </c>
      <c r="J179" s="26"/>
      <c r="K179" s="34"/>
    </row>
    <row r="180" ht="72" spans="1:11">
      <c r="A180" s="30">
        <v>5</v>
      </c>
      <c r="B180" s="24" t="s">
        <v>704</v>
      </c>
      <c r="C180" s="24" t="s">
        <v>14</v>
      </c>
      <c r="D180" s="31" t="s">
        <v>723</v>
      </c>
      <c r="E180" s="26" t="s">
        <v>724</v>
      </c>
      <c r="F180" s="26" t="s">
        <v>725</v>
      </c>
      <c r="G180" s="26" t="s">
        <v>726</v>
      </c>
      <c r="H180" s="26" t="s">
        <v>727</v>
      </c>
      <c r="I180" s="26" t="s">
        <v>6</v>
      </c>
      <c r="J180" s="26"/>
      <c r="K180" s="34"/>
    </row>
    <row r="181" ht="84" spans="1:11">
      <c r="A181" s="30">
        <v>6</v>
      </c>
      <c r="B181" s="24" t="s">
        <v>704</v>
      </c>
      <c r="C181" s="24" t="s">
        <v>14</v>
      </c>
      <c r="D181" s="31" t="s">
        <v>728</v>
      </c>
      <c r="E181" s="26" t="s">
        <v>729</v>
      </c>
      <c r="F181" s="26" t="s">
        <v>730</v>
      </c>
      <c r="G181" s="26" t="s">
        <v>731</v>
      </c>
      <c r="H181" s="26" t="s">
        <v>732</v>
      </c>
      <c r="I181" s="26" t="s">
        <v>5</v>
      </c>
      <c r="J181" s="26"/>
      <c r="K181" s="34"/>
    </row>
    <row r="182" ht="72" spans="1:11">
      <c r="A182" s="30">
        <v>7</v>
      </c>
      <c r="B182" s="24" t="s">
        <v>704</v>
      </c>
      <c r="C182" s="24" t="s">
        <v>14</v>
      </c>
      <c r="D182" s="31" t="s">
        <v>733</v>
      </c>
      <c r="E182" s="26" t="s">
        <v>734</v>
      </c>
      <c r="F182" s="26" t="s">
        <v>735</v>
      </c>
      <c r="G182" s="26" t="s">
        <v>736</v>
      </c>
      <c r="H182" s="26" t="s">
        <v>737</v>
      </c>
      <c r="I182" s="26" t="s">
        <v>7</v>
      </c>
      <c r="J182" s="26"/>
      <c r="K182" s="34"/>
    </row>
    <row r="183" ht="72" spans="1:11">
      <c r="A183" s="30">
        <v>8</v>
      </c>
      <c r="B183" s="24" t="s">
        <v>704</v>
      </c>
      <c r="C183" s="24" t="s">
        <v>14</v>
      </c>
      <c r="D183" s="31" t="s">
        <v>738</v>
      </c>
      <c r="E183" s="26" t="s">
        <v>739</v>
      </c>
      <c r="F183" s="26" t="s">
        <v>740</v>
      </c>
      <c r="G183" s="26" t="s">
        <v>741</v>
      </c>
      <c r="H183" s="26" t="s">
        <v>742</v>
      </c>
      <c r="I183" s="26" t="s">
        <v>5</v>
      </c>
      <c r="J183" s="26"/>
      <c r="K183" s="34"/>
    </row>
    <row r="184" ht="156" spans="1:11">
      <c r="A184" s="30">
        <v>9</v>
      </c>
      <c r="B184" s="24" t="s">
        <v>704</v>
      </c>
      <c r="C184" s="24" t="s">
        <v>14</v>
      </c>
      <c r="D184" s="31" t="s">
        <v>743</v>
      </c>
      <c r="E184" s="26" t="s">
        <v>706</v>
      </c>
      <c r="F184" s="26" t="s">
        <v>707</v>
      </c>
      <c r="G184" s="26" t="s">
        <v>708</v>
      </c>
      <c r="H184" s="26" t="s">
        <v>709</v>
      </c>
      <c r="I184" s="26" t="s">
        <v>7</v>
      </c>
      <c r="J184" s="26"/>
      <c r="K184" s="34"/>
    </row>
    <row r="185" ht="156" spans="1:11">
      <c r="A185" s="30">
        <v>10</v>
      </c>
      <c r="B185" s="24" t="s">
        <v>704</v>
      </c>
      <c r="C185" s="24" t="s">
        <v>14</v>
      </c>
      <c r="D185" s="31" t="s">
        <v>744</v>
      </c>
      <c r="E185" s="26" t="s">
        <v>745</v>
      </c>
      <c r="F185" s="26" t="s">
        <v>746</v>
      </c>
      <c r="G185" s="26" t="s">
        <v>747</v>
      </c>
      <c r="H185" s="26" t="s">
        <v>748</v>
      </c>
      <c r="I185" s="26" t="s">
        <v>8</v>
      </c>
      <c r="J185" s="26"/>
      <c r="K185" s="34"/>
    </row>
    <row r="186" ht="156" spans="1:11">
      <c r="A186" s="30">
        <v>11</v>
      </c>
      <c r="B186" s="24" t="s">
        <v>704</v>
      </c>
      <c r="C186" s="24" t="s">
        <v>14</v>
      </c>
      <c r="D186" s="31" t="s">
        <v>749</v>
      </c>
      <c r="E186" s="26" t="s">
        <v>219</v>
      </c>
      <c r="F186" s="26" t="s">
        <v>220</v>
      </c>
      <c r="G186" s="26" t="s">
        <v>221</v>
      </c>
      <c r="H186" s="26" t="s">
        <v>218</v>
      </c>
      <c r="I186" s="26" t="s">
        <v>8</v>
      </c>
      <c r="J186" s="26"/>
      <c r="K186" s="34"/>
    </row>
    <row r="187" ht="156" spans="1:11">
      <c r="A187" s="30">
        <v>12</v>
      </c>
      <c r="B187" s="24" t="s">
        <v>704</v>
      </c>
      <c r="C187" s="24" t="s">
        <v>14</v>
      </c>
      <c r="D187" s="32" t="s">
        <v>750</v>
      </c>
      <c r="E187" s="33" t="s">
        <v>751</v>
      </c>
      <c r="F187" s="33" t="s">
        <v>752</v>
      </c>
      <c r="G187" s="33" t="s">
        <v>753</v>
      </c>
      <c r="H187" s="33" t="s">
        <v>754</v>
      </c>
      <c r="I187" s="33" t="s">
        <v>7</v>
      </c>
      <c r="J187" s="26"/>
      <c r="K187" s="34"/>
    </row>
    <row r="188" ht="72" spans="1:11">
      <c r="A188" s="30">
        <v>13</v>
      </c>
      <c r="B188" s="24" t="s">
        <v>704</v>
      </c>
      <c r="C188" s="24" t="s">
        <v>14</v>
      </c>
      <c r="D188" s="31" t="s">
        <v>755</v>
      </c>
      <c r="E188" s="26" t="s">
        <v>724</v>
      </c>
      <c r="F188" s="26" t="s">
        <v>725</v>
      </c>
      <c r="G188" s="26" t="s">
        <v>726</v>
      </c>
      <c r="H188" s="26" t="s">
        <v>727</v>
      </c>
      <c r="I188" s="26" t="s">
        <v>6</v>
      </c>
      <c r="J188" s="26"/>
      <c r="K188" s="35"/>
    </row>
    <row r="189" ht="72" spans="1:11">
      <c r="A189" s="30">
        <v>14</v>
      </c>
      <c r="B189" s="24" t="s">
        <v>704</v>
      </c>
      <c r="C189" s="24" t="s">
        <v>14</v>
      </c>
      <c r="D189" s="31" t="s">
        <v>756</v>
      </c>
      <c r="E189" s="26" t="s">
        <v>739</v>
      </c>
      <c r="F189" s="26" t="s">
        <v>740</v>
      </c>
      <c r="G189" s="26" t="s">
        <v>741</v>
      </c>
      <c r="H189" s="26" t="s">
        <v>742</v>
      </c>
      <c r="I189" s="26" t="s">
        <v>5</v>
      </c>
      <c r="J189" s="26"/>
      <c r="K189" s="35"/>
    </row>
    <row r="190" ht="72" spans="1:11">
      <c r="A190" s="30">
        <v>15</v>
      </c>
      <c r="B190" s="24" t="s">
        <v>704</v>
      </c>
      <c r="C190" s="24" t="s">
        <v>150</v>
      </c>
      <c r="D190" s="31" t="s">
        <v>757</v>
      </c>
      <c r="E190" s="27" t="s">
        <v>541</v>
      </c>
      <c r="F190" s="27" t="s">
        <v>542</v>
      </c>
      <c r="G190" s="27" t="s">
        <v>477</v>
      </c>
      <c r="H190" s="27" t="s">
        <v>576</v>
      </c>
      <c r="I190" s="27" t="s">
        <v>178</v>
      </c>
      <c r="J190" s="26"/>
      <c r="K190" s="31"/>
    </row>
    <row r="191" ht="60" spans="1:11">
      <c r="A191" s="30">
        <v>16</v>
      </c>
      <c r="B191" s="24" t="s">
        <v>704</v>
      </c>
      <c r="C191" s="24" t="s">
        <v>14</v>
      </c>
      <c r="D191" s="31" t="s">
        <v>758</v>
      </c>
      <c r="E191" s="26" t="s">
        <v>724</v>
      </c>
      <c r="F191" s="26" t="s">
        <v>725</v>
      </c>
      <c r="G191" s="26" t="s">
        <v>726</v>
      </c>
      <c r="H191" s="26" t="s">
        <v>727</v>
      </c>
      <c r="I191" s="26" t="s">
        <v>6</v>
      </c>
      <c r="J191" s="26"/>
      <c r="K191" s="35"/>
    </row>
    <row r="192" ht="72" spans="1:11">
      <c r="A192" s="30">
        <v>17</v>
      </c>
      <c r="B192" s="24" t="s">
        <v>704</v>
      </c>
      <c r="C192" s="24" t="s">
        <v>14</v>
      </c>
      <c r="D192" s="31" t="s">
        <v>759</v>
      </c>
      <c r="E192" s="27" t="s">
        <v>56</v>
      </c>
      <c r="F192" s="27" t="s">
        <v>319</v>
      </c>
      <c r="G192" s="27" t="s">
        <v>320</v>
      </c>
      <c r="H192" s="27" t="s">
        <v>760</v>
      </c>
      <c r="I192" s="27" t="s">
        <v>7</v>
      </c>
      <c r="J192" s="26"/>
      <c r="K192" s="31"/>
    </row>
    <row r="193" ht="84" spans="1:11">
      <c r="A193" s="30">
        <v>18</v>
      </c>
      <c r="B193" s="24" t="s">
        <v>704</v>
      </c>
      <c r="C193" s="24" t="s">
        <v>14</v>
      </c>
      <c r="D193" s="31" t="s">
        <v>761</v>
      </c>
      <c r="E193" s="36">
        <v>1</v>
      </c>
      <c r="F193" s="36">
        <v>2</v>
      </c>
      <c r="G193" s="36">
        <v>3</v>
      </c>
      <c r="H193" s="36">
        <v>4</v>
      </c>
      <c r="I193" s="36" t="s">
        <v>5</v>
      </c>
      <c r="J193" s="26"/>
      <c r="K193" s="31"/>
    </row>
  </sheetData>
  <mergeCells count="1">
    <mergeCell ref="A1:J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H5"/>
  <sheetViews>
    <sheetView tabSelected="1" zoomScale="120" zoomScaleNormal="120" topLeftCell="C1" workbookViewId="0">
      <selection activeCell="G5" sqref="G5"/>
    </sheetView>
  </sheetViews>
  <sheetFormatPr defaultColWidth="9" defaultRowHeight="13.5" outlineLevelRow="4" outlineLevelCol="7"/>
  <cols>
    <col min="1" max="1" width="9" style="1" customWidth="1"/>
    <col min="2" max="5" width="22.675" style="1" customWidth="1"/>
    <col min="6" max="16384" width="9" style="1"/>
  </cols>
  <sheetData>
    <row r="1" spans="1:7">
      <c r="A1" s="2">
        <v>3</v>
      </c>
      <c r="B1" s="2" t="s">
        <v>762</v>
      </c>
      <c r="C1" s="3"/>
      <c r="D1" s="3"/>
      <c r="E1" s="3"/>
      <c r="F1" s="3"/>
      <c r="G1" s="4"/>
    </row>
    <row r="2" ht="18.75" spans="1:7">
      <c r="A2" s="2">
        <v>48</v>
      </c>
      <c r="B2" s="3" t="s">
        <v>763</v>
      </c>
      <c r="C2" s="5" t="str">
        <f ca="1">INDIRECT(B1&amp;"!C"&amp;(A1+A2))</f>
        <v>多选题</v>
      </c>
      <c r="D2" s="3"/>
      <c r="E2" s="6"/>
      <c r="F2" s="7" t="s">
        <v>9</v>
      </c>
      <c r="G2" s="4"/>
    </row>
    <row r="3" ht="71" customHeight="1" spans="1:7">
      <c r="A3" s="8" t="str">
        <f ca="1">C2</f>
        <v>多选题</v>
      </c>
      <c r="B3" s="9" t="str">
        <f ca="1">INDIRECT(B1&amp;"!D"&amp;(A1+A2))</f>
        <v>依据《中国南方电网有限责任公司工作票实施规范》（配电部分），《电力线路工作安全技术交底单》填写时施工应采取的安全措施（   ）线路重合闸或再启动功能投退要求：与拟填写工作票的填写要求一致。</v>
      </c>
      <c r="C3" s="9"/>
      <c r="D3" s="9"/>
      <c r="E3" s="10"/>
      <c r="F3" s="7" t="str">
        <f ca="1">INDIRECT(B1&amp;"!I"&amp;(A1+A2))</f>
        <v>ABCD</v>
      </c>
      <c r="G3" s="11" t="s">
        <v>764</v>
      </c>
    </row>
    <row r="4" ht="25" customHeight="1" spans="1:7">
      <c r="A4" s="3"/>
      <c r="B4" s="12" t="s">
        <v>765</v>
      </c>
      <c r="C4" s="12" t="s">
        <v>766</v>
      </c>
      <c r="D4" s="12" t="s">
        <v>767</v>
      </c>
      <c r="E4" s="12" t="s">
        <v>768</v>
      </c>
      <c r="F4" s="3"/>
      <c r="G4" s="13"/>
    </row>
    <row r="5" ht="150" customHeight="1" spans="1:8">
      <c r="A5" s="3"/>
      <c r="B5" s="14" t="str">
        <f ca="1">INDIRECT(B1&amp;"!E"&amp;(A1+A2))</f>
        <v>应拉断路器（开关）和隔离开关（刀闸）（注明编号）</v>
      </c>
      <c r="C5" s="14" t="str">
        <f ca="1">INDIRECT(B1&amp;"!F"&amp;(A1+A2))</f>
        <v>应合接地刀闸（注明编号）、装接地线（注明确实地点）</v>
      </c>
      <c r="D5" s="14" t="str">
        <f ca="1">INDIRECT(B1&amp;"!G"&amp;(A1+A2))</f>
        <v>应设遮栏、应挂标示牌（注明位置）</v>
      </c>
      <c r="E5" s="14" t="str">
        <f ca="1">INDIRECT(B1&amp;"!H"&amp;(A1+A2))</f>
        <v>保留的带电线路或带电设备（注明确实地点）</v>
      </c>
      <c r="F5" s="14" t="s">
        <v>769</v>
      </c>
      <c r="G5" s="15">
        <v>1234</v>
      </c>
      <c r="H5" s="16"/>
    </row>
  </sheetData>
  <mergeCells count="1">
    <mergeCell ref="B3:E3"/>
  </mergeCells>
  <pageMargins left="0.75" right="0.75" top="1" bottom="1" header="0.5" footer="0.5"/>
  <headerFooter/>
  <ignoredErrors>
    <ignoredError sqref="F3" unlockedFormula="1"/>
  </ignoredErrors>
  <drawing r:id="rId1"/>
  <legacyDrawing r:id="rId2"/>
  <controls>
    <mc:AlternateContent xmlns:mc="http://schemas.openxmlformats.org/markup-compatibility/2006">
      <mc:Choice Requires="x14">
        <control shapeId="1043" r:id="rId3" name="CheckBox1">
          <controlPr defaultSize="0" r:id="rId4" print="0">
            <anchor moveWithCells="1">
              <from>
                <xdr:col>7</xdr:col>
                <xdr:colOff>133350</xdr:colOff>
                <xdr:row>3</xdr:row>
                <xdr:rowOff>28575</xdr:rowOff>
              </from>
              <to>
                <xdr:col>9</xdr:col>
                <xdr:colOff>257175</xdr:colOff>
                <xdr:row>3</xdr:row>
                <xdr:rowOff>257175</xdr:rowOff>
              </to>
            </anchor>
          </controlPr>
        </control>
      </mc:Choice>
      <mc:Fallback>
        <control shapeId="1043" r:id="rId3" name="CheckBox1"/>
      </mc:Fallback>
    </mc:AlternateContent>
    <mc:AlternateContent xmlns:mc="http://schemas.openxmlformats.org/markup-compatibility/2006">
      <mc:Choice Requires="x14">
        <control shapeId="1048" r:id="rId5" name="OptionButton1">
          <controlPr defaultSize="0" r:id="rId6">
            <anchor moveWithCells="1">
              <from>
                <xdr:col>7</xdr:col>
                <xdr:colOff>66675</xdr:colOff>
                <xdr:row>0</xdr:row>
                <xdr:rowOff>66675</xdr:rowOff>
              </from>
              <to>
                <xdr:col>8</xdr:col>
                <xdr:colOff>295275</xdr:colOff>
                <xdr:row>1</xdr:row>
                <xdr:rowOff>95250</xdr:rowOff>
              </to>
            </anchor>
          </controlPr>
        </control>
      </mc:Choice>
      <mc:Fallback>
        <control shapeId="1048" r:id="rId5" name="OptionButton1"/>
      </mc:Fallback>
    </mc:AlternateContent>
    <mc:AlternateContent xmlns:mc="http://schemas.openxmlformats.org/markup-compatibility/2006">
      <mc:Choice Requires="x14">
        <control shapeId="1049" r:id="rId7" name="OptionButton2">
          <controlPr defaultSize="0" r:id="rId8">
            <anchor moveWithCells="1">
              <from>
                <xdr:col>8</xdr:col>
                <xdr:colOff>381000</xdr:colOff>
                <xdr:row>0</xdr:row>
                <xdr:rowOff>66675</xdr:rowOff>
              </from>
              <to>
                <xdr:col>9</xdr:col>
                <xdr:colOff>609600</xdr:colOff>
                <xdr:row>1</xdr:row>
                <xdr:rowOff>95250</xdr:rowOff>
              </to>
            </anchor>
          </controlPr>
        </control>
      </mc:Choice>
      <mc:Fallback>
        <control shapeId="1049" r:id="rId7" name="OptionButton2"/>
      </mc:Fallback>
    </mc:AlternateContent>
    <mc:AlternateContent xmlns:mc="http://schemas.openxmlformats.org/markup-compatibility/2006">
      <mc:Choice Requires="x14">
        <control shapeId="1050" r:id="rId9" name="OptionButton3">
          <controlPr defaultSize="0" r:id="rId10">
            <anchor moveWithCells="1">
              <from>
                <xdr:col>10</xdr:col>
                <xdr:colOff>9525</xdr:colOff>
                <xdr:row>0</xdr:row>
                <xdr:rowOff>66675</xdr:rowOff>
              </from>
              <to>
                <xdr:col>11</xdr:col>
                <xdr:colOff>238125</xdr:colOff>
                <xdr:row>1</xdr:row>
                <xdr:rowOff>95250</xdr:rowOff>
              </to>
            </anchor>
          </controlPr>
        </control>
      </mc:Choice>
      <mc:Fallback>
        <control shapeId="1050" r:id="rId9" name="OptionButton3"/>
      </mc:Fallback>
    </mc:AlternateContent>
    <mc:AlternateContent xmlns:mc="http://schemas.openxmlformats.org/markup-compatibility/2006">
      <mc:Choice Requires="x14">
        <control shapeId="1034" name="Button 10" r:id="rId11">
          <controlPr print="0" defaultSize="0">
            <anchor moveWithCells="1">
              <from>
                <xdr:col>0</xdr:col>
                <xdr:colOff>676275</xdr:colOff>
                <xdr:row>4</xdr:row>
                <xdr:rowOff>19050</xdr:rowOff>
              </from>
              <to>
                <xdr:col>1</xdr:col>
                <xdr:colOff>1714500</xdr:colOff>
                <xdr:row>4</xdr:row>
                <xdr:rowOff>1898650</xdr:rowOff>
              </to>
            </anchor>
          </controlPr>
        </control>
      </mc:Choice>
    </mc:AlternateContent>
    <mc:AlternateContent xmlns:mc="http://schemas.openxmlformats.org/markup-compatibility/2006">
      <mc:Choice Requires="x14">
        <control shapeId="1035" name="Button 11" r:id="rId12">
          <controlPr print="0" defaultSize="0">
            <anchor moveWithCells="1">
              <from>
                <xdr:col>2</xdr:col>
                <xdr:colOff>0</xdr:colOff>
                <xdr:row>4</xdr:row>
                <xdr:rowOff>19050</xdr:rowOff>
              </from>
              <to>
                <xdr:col>2</xdr:col>
                <xdr:colOff>1724025</xdr:colOff>
                <xdr:row>4</xdr:row>
                <xdr:rowOff>1898650</xdr:rowOff>
              </to>
            </anchor>
          </controlPr>
        </control>
      </mc:Choice>
    </mc:AlternateContent>
    <mc:AlternateContent xmlns:mc="http://schemas.openxmlformats.org/markup-compatibility/2006">
      <mc:Choice Requires="x14">
        <control shapeId="1036" name="Button 12" r:id="rId13">
          <controlPr print="0" defaultSize="0">
            <anchor moveWithCells="1">
              <from>
                <xdr:col>3</xdr:col>
                <xdr:colOff>9525</xdr:colOff>
                <xdr:row>4</xdr:row>
                <xdr:rowOff>19050</xdr:rowOff>
              </from>
              <to>
                <xdr:col>4</xdr:col>
                <xdr:colOff>5715</xdr:colOff>
                <xdr:row>4</xdr:row>
                <xdr:rowOff>1898650</xdr:rowOff>
              </to>
            </anchor>
          </controlPr>
        </control>
      </mc:Choice>
    </mc:AlternateContent>
    <mc:AlternateContent xmlns:mc="http://schemas.openxmlformats.org/markup-compatibility/2006">
      <mc:Choice Requires="x14">
        <control shapeId="1037" name="Button 13" r:id="rId14">
          <controlPr print="0" defaultSize="0">
            <anchor moveWithCells="1">
              <from>
                <xdr:col>4</xdr:col>
                <xdr:colOff>9525</xdr:colOff>
                <xdr:row>4</xdr:row>
                <xdr:rowOff>19050</xdr:rowOff>
              </from>
              <to>
                <xdr:col>5</xdr:col>
                <xdr:colOff>5715</xdr:colOff>
                <xdr:row>4</xdr:row>
                <xdr:rowOff>1898650</xdr:rowOff>
              </to>
            </anchor>
          </controlPr>
        </control>
      </mc:Choice>
    </mc:AlternateContent>
    <mc:AlternateContent xmlns:mc="http://schemas.openxmlformats.org/markup-compatibility/2006">
      <mc:Choice Requires="x14">
        <control shapeId="1038" name="Button 14" r:id="rId15">
          <controlPr print="0" defaultSize="0">
            <anchor moveWithCells="1">
              <from>
                <xdr:col>5</xdr:col>
                <xdr:colOff>142875</xdr:colOff>
                <xdr:row>3</xdr:row>
                <xdr:rowOff>38100</xdr:rowOff>
              </from>
              <to>
                <xdr:col>6</xdr:col>
                <xdr:colOff>495300</xdr:colOff>
                <xdr:row>3</xdr:row>
                <xdr:rowOff>266700</xdr:rowOff>
              </to>
            </anchor>
          </controlPr>
        </control>
      </mc:Choice>
    </mc:AlternateContent>
    <mc:AlternateContent xmlns:mc="http://schemas.openxmlformats.org/markup-compatibility/2006">
      <mc:Choice Requires="x14">
        <control shapeId="1039" name="Button 15" r:id="rId16">
          <controlPr print="0" defaultSize="0">
            <anchor moveWithCells="1">
              <from>
                <xdr:col>7</xdr:col>
                <xdr:colOff>47625</xdr:colOff>
                <xdr:row>2</xdr:row>
                <xdr:rowOff>57150</xdr:rowOff>
              </from>
              <to>
                <xdr:col>7</xdr:col>
                <xdr:colOff>647065</xdr:colOff>
                <xdr:row>2</xdr:row>
                <xdr:rowOff>514985</xdr:rowOff>
              </to>
            </anchor>
          </controlPr>
        </control>
      </mc:Choice>
    </mc:AlternateContent>
    <mc:AlternateContent xmlns:mc="http://schemas.openxmlformats.org/markup-compatibility/2006">
      <mc:Choice Requires="x14">
        <control shapeId="1040" name="Button 16" r:id="rId17">
          <controlPr print="0" defaultSize="0">
            <anchor moveWithCells="1">
              <from>
                <xdr:col>8</xdr:col>
                <xdr:colOff>37465</xdr:colOff>
                <xdr:row>2</xdr:row>
                <xdr:rowOff>38100</xdr:rowOff>
              </from>
              <to>
                <xdr:col>8</xdr:col>
                <xdr:colOff>667385</xdr:colOff>
                <xdr:row>2</xdr:row>
                <xdr:rowOff>542290</xdr:rowOff>
              </to>
            </anchor>
          </controlPr>
        </control>
      </mc:Choice>
    </mc:AlternateContent>
    <mc:AlternateContent xmlns:mc="http://schemas.openxmlformats.org/markup-compatibility/2006">
      <mc:Choice Requires="x14">
        <control shapeId="1041" name="Button 17" r:id="rId18">
          <controlPr print="0" defaultSize="0">
            <anchor moveWithCells="1">
              <from>
                <xdr:col>4</xdr:col>
                <xdr:colOff>314325</xdr:colOff>
                <xdr:row>0</xdr:row>
                <xdr:rowOff>28575</xdr:rowOff>
              </from>
              <to>
                <xdr:col>4</xdr:col>
                <xdr:colOff>1619250</xdr:colOff>
                <xdr:row>1</xdr:row>
                <xdr:rowOff>104775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2</vt:i4>
      </vt:variant>
    </vt:vector>
  </HeadingPairs>
  <TitlesOfParts>
    <vt:vector size="2" baseType="lpstr">
      <vt:lpstr>Sheet1</vt:lpstr>
      <vt:lpstr>Sheet1 (2)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tanjunhao</dc:creator>
  <cp:lastModifiedBy>谭钧豪</cp:lastModifiedBy>
  <dcterms:created xsi:type="dcterms:W3CDTF">2020-02-27T03:31:00Z</dcterms:created>
  <dcterms:modified xsi:type="dcterms:W3CDTF">2020-02-27T09:31:33Z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2052-11.1.0.9513</vt:lpwstr>
  </property>
</Properties>
</file>