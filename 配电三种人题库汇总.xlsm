
<file path=[Content_Types].xml><?xml version="1.0" encoding="utf-8"?>
<Types xmlns="http://schemas.openxmlformats.org/package/2006/content-types">
  <Default Extension="vml" ContentType="application/vnd.openxmlformats-officedocument.vmlDrawin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activeX/activeX2.bin" ContentType="application/vnd.ms-office.activeX"/>
  <Override PartName="/xl/activeX/activeX2.xml" ContentType="application/vnd.ms-office.activeX+xml"/>
  <Override PartName="/xl/activeX/activeX3.bin" ContentType="application/vnd.ms-office.activeX"/>
  <Override PartName="/xl/activeX/activeX3.xml" ContentType="application/vnd.ms-office.activeX+xml"/>
  <Override PartName="/xl/activeX/activeX4.bin" ContentType="application/vnd.ms-office.activeX"/>
  <Override PartName="/xl/activeX/activeX4.xml" ContentType="application/vnd.ms-office.activeX+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720" windowHeight="13740" activeTab="1"/>
  </bookViews>
  <sheets>
    <sheet name="Sheet1" sheetId="1" r:id="rId1"/>
    <sheet name="Sheet2" sheetId="2" r:id="rId2"/>
  </sheets>
  <calcPr calcId="144525"/>
</workbook>
</file>

<file path=xl/sharedStrings.xml><?xml version="1.0" encoding="utf-8"?>
<sst xmlns="http://schemas.openxmlformats.org/spreadsheetml/2006/main" count="1601" uniqueCount="770">
  <si>
    <t>配电类“三种人”题库汇总</t>
  </si>
  <si>
    <t>序号</t>
  </si>
  <si>
    <t>专业分类</t>
  </si>
  <si>
    <t>题型</t>
  </si>
  <si>
    <t>题干</t>
  </si>
  <si>
    <t>A</t>
  </si>
  <si>
    <t>B</t>
  </si>
  <si>
    <t>C</t>
  </si>
  <si>
    <t>D</t>
  </si>
  <si>
    <t>答案</t>
  </si>
  <si>
    <t>对应条款编号</t>
  </si>
  <si>
    <t>做错次数</t>
  </si>
  <si>
    <t>做题次数</t>
  </si>
  <si>
    <t>配电类“三种人”专业题库专业题库</t>
  </si>
  <si>
    <t>单选题</t>
  </si>
  <si>
    <t>低［电］压是指（ ）及以下的电压等级。</t>
  </si>
  <si>
    <t>36kV</t>
  </si>
  <si>
    <t>250V</t>
  </si>
  <si>
    <t>380V</t>
  </si>
  <si>
    <t>1kV</t>
  </si>
  <si>
    <t>高［电］压是指（ ）以上的电压等级。</t>
  </si>
  <si>
    <t>10kV</t>
  </si>
  <si>
    <t>35kV</t>
  </si>
  <si>
    <t>110kV</t>
  </si>
  <si>
    <t>双重名称指设备的（ ）。</t>
  </si>
  <si>
    <t>电压等级和编号</t>
  </si>
  <si>
    <t>位置和编号</t>
  </si>
  <si>
    <t>名称和位置</t>
  </si>
  <si>
    <t>名称和编号</t>
  </si>
  <si>
    <t>（ ）是为改变电气设备及相关因素的运用状态进行逻辑性操作和有序沟通而设计的一种组织性书面形式控制依据。</t>
  </si>
  <si>
    <t>操作票</t>
  </si>
  <si>
    <t>检修申请单</t>
  </si>
  <si>
    <t>施工方案</t>
  </si>
  <si>
    <t>工作票</t>
  </si>
  <si>
    <t>高处作业是指凡在坠落高度基准面（ ）及以上，有可能坠落的高处进行的作业。</t>
  </si>
  <si>
    <t>1.5m</t>
  </si>
  <si>
    <t>2m</t>
  </si>
  <si>
    <t>2.5m</t>
  </si>
  <si>
    <t>3m</t>
  </si>
  <si>
    <t>发现有违反《中国南方电网有限责任公司电力安全工作规程》的行为，应（ ），经纠正后方可恢复工作。</t>
  </si>
  <si>
    <t>置之不理</t>
  </si>
  <si>
    <t>立即汇报</t>
  </si>
  <si>
    <t>立即制止</t>
  </si>
  <si>
    <t>继续工作</t>
  </si>
  <si>
    <t>公司系统内部作业人员及其直接管理人员间断现场工作连续（ ）以上者，应重新学习本规程并考试合格后方能参加工作。</t>
  </si>
  <si>
    <t xml:space="preserve">1个月 </t>
  </si>
  <si>
    <t>2个月</t>
  </si>
  <si>
    <t>3个月</t>
  </si>
  <si>
    <t>半年</t>
  </si>
  <si>
    <t>5.2.2.2</t>
  </si>
  <si>
    <t>作业期间需将升降口、井坑、孔洞、楼梯和平台的栏杆、护板或盖板拆除时，应装设临时遮栏（围栏）和警示标识，夜间应设警示光源，在作业结束时应（ ）。</t>
  </si>
  <si>
    <t>隔天恢复</t>
  </si>
  <si>
    <t>有时间再恢复</t>
  </si>
  <si>
    <t>及时恢复</t>
  </si>
  <si>
    <t>5.3.11</t>
  </si>
  <si>
    <t>依据《中国南方电网有限责任公司电力安全工作规程》规定，低压施工用电架空线路应采用绝缘导线，架设高度应不低于（  ），交通要道及车辆通行处应不低于5m。</t>
  </si>
  <si>
    <t>4m</t>
  </si>
  <si>
    <t>5.4.4</t>
  </si>
  <si>
    <t>外单位在填写工作票前，应由(  )对外单位进行书面安全技术交底，并在《安全技术交底单》上由双方签名确认。</t>
  </si>
  <si>
    <t>工作票签发人</t>
  </si>
  <si>
    <t>工作许可人</t>
  </si>
  <si>
    <t>运行单位</t>
  </si>
  <si>
    <t>承包商</t>
  </si>
  <si>
    <t>6.1.2.1</t>
  </si>
  <si>
    <t>公司所属设备运维单位认为有必要进行勘察工作的内部工作负责人，应根据工作要求组织现场勘察；（  ）应根据相关要求开展现场勘察。</t>
  </si>
  <si>
    <t>承包商工作负责人</t>
  </si>
  <si>
    <t>分包商工作负责人</t>
  </si>
  <si>
    <t>相关部门负责人</t>
  </si>
  <si>
    <t>内部工作负责人</t>
  </si>
  <si>
    <t>6.2.1</t>
  </si>
  <si>
    <t>工作方案应根据现场勘察结果，依据作业的危险性、复杂性和困难程度，制定有针对性的组织措施、（  ）和技术措施。</t>
  </si>
  <si>
    <t>施工作业票</t>
  </si>
  <si>
    <t>风险等级评定</t>
  </si>
  <si>
    <t>安全措施</t>
  </si>
  <si>
    <t>作业指导书</t>
  </si>
  <si>
    <t>6.2.3</t>
  </si>
  <si>
    <t>作业开工前，工作负责人或工作许可人若认为现场实际情况与原勘察结果可能发生变化时，应重新核实，必要时应修正、完善相应的安全措施，或（   ）。</t>
  </si>
  <si>
    <t>更换工作负责人</t>
  </si>
  <si>
    <t>更换工作票签发人</t>
  </si>
  <si>
    <t>更换工作票许可人</t>
  </si>
  <si>
    <t>重新办理工作票</t>
  </si>
  <si>
    <t>6.2.4</t>
  </si>
  <si>
    <t xml:space="preserve">依据《中国南方电网有限责任公司电力安全工作规程》，（   ）须审核外单位工作人员资格是否具备。 </t>
  </si>
  <si>
    <t>工作负责人</t>
  </si>
  <si>
    <t>工作票许可人</t>
  </si>
  <si>
    <t>工作票会签人</t>
  </si>
  <si>
    <t>值班负责人</t>
  </si>
  <si>
    <t>6.3.1.2</t>
  </si>
  <si>
    <t xml:space="preserve">（   ）对工作票所列内容有疑问时，应向工作票签发人（或工作票会签人）询问清楚，必要时应作补充。 </t>
  </si>
  <si>
    <t>专责监护人</t>
  </si>
  <si>
    <t>6.3.1.4</t>
  </si>
  <si>
    <t xml:space="preserve">（   ）接受调度命令，确认工作票所列安全措施是否正确、完备，是否符合现场条件。 </t>
  </si>
  <si>
    <t>工作班成员</t>
  </si>
  <si>
    <t>6.3.1.5</t>
  </si>
  <si>
    <t>（   ）确认已布置的安全措施符合工作票要求，防范突然来电时安全措施完整可靠，按本规程规定应以手触试的停电设备应实施以手触试。</t>
  </si>
  <si>
    <t>监督被监护人员执行本规程和现场安全措施，及时纠正不安全行为，是（    ）的安全责任。</t>
  </si>
  <si>
    <t>6.3.1.6</t>
  </si>
  <si>
    <t xml:space="preserve">工作班人员发现现场安全措施不适应工作时，应（   ）。 </t>
  </si>
  <si>
    <t>工作后提出疑问</t>
  </si>
  <si>
    <t>及时提出异议</t>
  </si>
  <si>
    <t>以上三种都可以</t>
  </si>
  <si>
    <t>6.3.1.7</t>
  </si>
  <si>
    <t>配电作业运检一体，（  ）可由工作许可人兼任，但工作许可人和工作负责人不得相互兼任。</t>
  </si>
  <si>
    <t>6.3.1.8</t>
  </si>
  <si>
    <t>（   ）、工作票会签人应由熟悉人员安全技能与技术水平，具有相关工作经历、经验丰富的生产管理人员、技术人员、技能人员担任。</t>
  </si>
  <si>
    <t>6.3.2.1</t>
  </si>
  <si>
    <t>（   ）（简称“三种人” ）每年应进行“三种人”资格考试，合格后以发文形式公布。</t>
  </si>
  <si>
    <t>工作班成员、工作负责人和工作许可人</t>
  </si>
  <si>
    <t>工作票签发人、工作负责人和工作许可人</t>
  </si>
  <si>
    <t>工作票签发人、专责监护人和工作负责人</t>
  </si>
  <si>
    <t>值班负责人、工作负责人和工作许可人</t>
  </si>
  <si>
    <t>6.3.2.6</t>
  </si>
  <si>
    <t>紧急抢修应使用紧急抢修工作票，紧急抢修作业从许可时间起超过（   ）后应根据情况改用非紧急抢修工作票。 抢修前预计（   ）内无法完成的，应直接使用相关工作票。</t>
  </si>
  <si>
    <t>8h，8h</t>
  </si>
  <si>
    <t>8h，12h</t>
  </si>
  <si>
    <t>12h，8h</t>
  </si>
  <si>
    <t>12h，12h</t>
  </si>
  <si>
    <t>6.3.3.16</t>
  </si>
  <si>
    <t xml:space="preserve">在厂站内，待投运的新设备已与运行设备连接，进行新设备安装或试验的工作（   ）。 </t>
  </si>
  <si>
    <t>应办理厂站第一种工作票</t>
  </si>
  <si>
    <t>应办理厂站第二种工作票</t>
  </si>
  <si>
    <t>应办理厂站第三种工作票</t>
  </si>
  <si>
    <t>无需办理工作票</t>
  </si>
  <si>
    <t>6.3.3.2</t>
  </si>
  <si>
    <t xml:space="preserve">在厂站内，待投运的新设备未与运行设备连接且安全距离足够，进行新设备安装或试验的工作。（   ）。 </t>
  </si>
  <si>
    <t>6.3.3.3</t>
  </si>
  <si>
    <t xml:space="preserve">在厂站内，非设备运维人员对设备进行红外、紫外检测的工作（   ）。 </t>
  </si>
  <si>
    <t>6.3.3.4</t>
  </si>
  <si>
    <t>外单位从事低压配电网的穿刺带电工作应（   ）。</t>
  </si>
  <si>
    <t>不需办理工作票，但应以书面形式布置和做好记录</t>
  </si>
  <si>
    <t>选用带电作业工作票</t>
  </si>
  <si>
    <t>选用线路第二种工作票</t>
  </si>
  <si>
    <t>选用低压配电网工作票</t>
  </si>
  <si>
    <t>6.3.3.7</t>
  </si>
  <si>
    <t>依据《中国南方电网有限责任公司电力安全工作规程》工作票填写的相关规定，同一工作人员在同一段时间内被列为多张工作票的工作人员时，应经各(  )同意，并在每张工作票的备注栏注明人员变动情况。</t>
  </si>
  <si>
    <t>6.4.1.3</t>
  </si>
  <si>
    <t>依据《中国南方电网有限责任公司电力安全工作规程》工作票接收的相关规定，工作票应在规定时间内以纸质或电子文档形式送达许可部门，由（  ）接收并审核。</t>
  </si>
  <si>
    <t>6.4.3.1</t>
  </si>
  <si>
    <t>（  ）审查工作票或调度检修申请单无误后，正确完整地组织实施各项安全措施并做好安全注意事项的提醒。</t>
  </si>
  <si>
    <t>6.5.2.1</t>
  </si>
  <si>
    <t>厂站内的检修工作，在设备已进行停电、验电和装设接地线，确认安全措施布置完毕后，（  ）应根据本规程规定，以手触试检修设备，证明检修设备确无电压，工作班组方可开始工作。</t>
  </si>
  <si>
    <t>6.5.4.6</t>
  </si>
  <si>
    <t>动火工作负责人，宜具备电气工作票（    ）资格。</t>
  </si>
  <si>
    <t>工作审批人</t>
  </si>
  <si>
    <t>工作签发人</t>
  </si>
  <si>
    <t>24.3.3.2</t>
  </si>
  <si>
    <t>遇有（  ）级以上的大风时，禁止露天进行起重工作。</t>
  </si>
  <si>
    <t>25.1.2</t>
  </si>
  <si>
    <t>在临近带电体处吊装作业时，起重机臂架、吊具、辅具、钢丝绳及吊物等与10kV带电体的距离不得小于（  ）米。</t>
  </si>
  <si>
    <t>25.2.5</t>
  </si>
  <si>
    <t>多选题</t>
  </si>
  <si>
    <t xml:space="preserve">高压配电线路是指（ ）以上、（）及以下的非厂站高压线路，高压输电线路是指（ ）及以上的高压线路。 </t>
  </si>
  <si>
    <t>20kV</t>
  </si>
  <si>
    <t>ABC</t>
  </si>
  <si>
    <t>3.15、3.16</t>
  </si>
  <si>
    <t>依据《中国南方电网有限责任公司电力安全工作规程》规定，作业现场在城区、人口密集区、通行道路上或交通道口施工时，工作场所周围应装设遮栏（围栏），并在相应部位设（）或（），夜间应设（），必要时派专人看守。</t>
  </si>
  <si>
    <t>警戒范围</t>
  </si>
  <si>
    <t>警示标识</t>
  </si>
  <si>
    <t>封路提示</t>
  </si>
  <si>
    <t>警示光源</t>
  </si>
  <si>
    <t>ABD</t>
  </si>
  <si>
    <t>5.3.12</t>
  </si>
  <si>
    <t>依据《中国南方电网有限责任公司电力安全工作规程》，保证安全的组织措施工作流程:（  ）,工作票组织,工作票启用,（  ）,工作监护,工作间断,工作转移,工作变更和延期,（  ）。</t>
  </si>
  <si>
    <t>现场勘察</t>
  </si>
  <si>
    <t>工作许可</t>
  </si>
  <si>
    <t>工作票取消</t>
  </si>
  <si>
    <t>工作终结</t>
  </si>
  <si>
    <t>6.1.1</t>
  </si>
  <si>
    <t>依据《中国南方电网有限责任公司电力安全工作规程》，工作许可手续签名前，工作许可人应对工作负责人就（  ）、（  ）和（  ）进行安全交代。</t>
  </si>
  <si>
    <t>工作票所列安全措施实施情况</t>
  </si>
  <si>
    <t>带电部位</t>
  </si>
  <si>
    <t>注意事项</t>
  </si>
  <si>
    <t>BCD</t>
  </si>
  <si>
    <t>6.1.2.2</t>
  </si>
  <si>
    <t>作业前应召开现场工前会，由工作负责人对工作班组所有人员或工作分组负责人、工作分组负责人对分组人员进行安全交代。交代内容包括（   ）及注意事项。</t>
  </si>
  <si>
    <t>工作任务及分工</t>
  </si>
  <si>
    <t>作业地点及范围</t>
  </si>
  <si>
    <t>作业环境及风险</t>
  </si>
  <si>
    <t>ABCD</t>
  </si>
  <si>
    <t>6.1.2.3</t>
  </si>
  <si>
    <t>现场勘察应查看检修（施工）作业需要（  ）、（  ）、（  ）、邻近线路、交叉跨越、多电源、自备电源、地下管线设施和作业现场的条件、环境及其他影响作业的危险点。</t>
  </si>
  <si>
    <t>施工人员数量</t>
  </si>
  <si>
    <t>停电的范围</t>
  </si>
  <si>
    <t>保留的带电部位</t>
  </si>
  <si>
    <t>装设接地线的位置</t>
  </si>
  <si>
    <t>6.2.2</t>
  </si>
  <si>
    <t>依据《中国南方电网有限责任公司电力安全工作规程》，工作票签发人的安全责任包括（   ）。</t>
  </si>
  <si>
    <t xml:space="preserve">协助工作负责人填写工作票。 </t>
  </si>
  <si>
    <t>确认工作票所列安全措施是否正确完备</t>
  </si>
  <si>
    <t>确认所派工作负责人和工作班人员是否适当、充足</t>
  </si>
  <si>
    <t>确认工作必要性和安全性</t>
  </si>
  <si>
    <t>6.3.1.1</t>
  </si>
  <si>
    <t>依据《中国南方电网有限责任公司电力安全工作规程》，工作负责人(监护人)的安全责任包括了：（   ）；（   ）；（   ）；正确、安全地组织工作。工作前应向工作班全体人员进行安全交代。关注工作人员身体和精神状况是否正常以及工作班人员变动是否合适。监护工作班人员执行现场安全措施和技术措施、正确使用劳动防护用品和工器具，在作业中不发生违章作业、违反劳动纪律的行为；正确、安全地组织工作。</t>
  </si>
  <si>
    <t>亲自并正确完整地填写工作票</t>
  </si>
  <si>
    <t>确认工作票所列安全措施正确、完备，符合现场实际条件，必要时予以补充</t>
  </si>
  <si>
    <t>核实已做完的所有安全措施是否符合作业安全要求</t>
  </si>
  <si>
    <t>检修申请单或规范性书面记录过程管理</t>
  </si>
  <si>
    <t>6.3.1.3</t>
  </si>
  <si>
    <t>依据《中国南方电网有限责任公司电力安全工作规程》，专责监护人的安全责任包括了：（   ）；（   ）；监督被监护人员执行本规程和现场安全措施，及时纠正不安全行为；（   ）。</t>
  </si>
  <si>
    <t>明确被监护人员、监护范围和内容</t>
  </si>
  <si>
    <t>接受调度命令，确认工作票所列安全措施是否正确、完备，是否符合现场条件</t>
  </si>
  <si>
    <t>工作前对被监护人员交代安全措施，告知危险点和安全注意事项</t>
  </si>
  <si>
    <t>及时发现并制止被监护人员违章指挥、违章作业和违反劳动纪律的行为</t>
  </si>
  <si>
    <t>ACD</t>
  </si>
  <si>
    <t>以下工作可共用同一张厂站第一或第二种工作票：（   ）。</t>
  </si>
  <si>
    <t>厂站设备全部停电的工作</t>
  </si>
  <si>
    <t>在同一厂站内几个电气连接部分，依次进行的同一电压等级、同一类型的不停电工作</t>
  </si>
  <si>
    <t xml:space="preserve">在同一厂站内，依次进行的同一电压等级、同类型采取相同安全措施的带电作业。 </t>
  </si>
  <si>
    <t>在同一发电机组的几个电动机上依次进行的工作</t>
  </si>
  <si>
    <t>6.3.3.12</t>
  </si>
  <si>
    <t>依据《中国南方电网有限责任公司电力安全工作规程》工作许可的相关规定，应以手触试的设备包括：（  ）。</t>
  </si>
  <si>
    <t>厂站内的电压等级在35kV及以下、高度在2m以下的一次设备导体部分</t>
  </si>
  <si>
    <t>厂站内的电压等级在110kV及以下、高度在2m以下的一次设备导体部分</t>
  </si>
  <si>
    <t>厂站内的电压等级在35kV及以下、高度在1.5m以下的一次设备导体部分</t>
  </si>
  <si>
    <t>使用厂站工作票的高压配电设备（环网柜和电缆分支箱除外）</t>
  </si>
  <si>
    <t>AD</t>
  </si>
  <si>
    <t>6.5.3.2</t>
  </si>
  <si>
    <t xml:space="preserve">操作票填写应实行“三对照”，包括：（   ）。
</t>
  </si>
  <si>
    <t>对照历史操作票或样票</t>
  </si>
  <si>
    <t>对照操作任务、运行方式和安全措施要求</t>
  </si>
  <si>
    <t>对照系统、设备和“五防”装置的模拟图</t>
  </si>
  <si>
    <t>对照设备名称和编号</t>
  </si>
  <si>
    <t>9.4.3.3</t>
  </si>
  <si>
    <t>动火工作票所列组织人员主要包括动火工作负责人、动火工作签发人、动火工作许可人、（    ）。</t>
  </si>
  <si>
    <t>动火工作审批人</t>
  </si>
  <si>
    <t>消防监护人</t>
  </si>
  <si>
    <t>动火执行人</t>
  </si>
  <si>
    <t>项目经理</t>
  </si>
  <si>
    <t>24.3.2</t>
  </si>
  <si>
    <t>依据《中国南方电网有限责任公司工作票实施规范》（配电部分），存档的工作票应以现场实际使用的工作票为准，能够完整反映现场工作的原始信息记录。工作票附属单、(   )，应随工作票收回存档。</t>
  </si>
  <si>
    <t>安全技术交底单</t>
  </si>
  <si>
    <t>线路工作接地线使用登记管理表</t>
  </si>
  <si>
    <t>验收记录</t>
  </si>
  <si>
    <t>AB</t>
  </si>
  <si>
    <t>《中国南方电网有限责任公司工作票实施规范》（配电部分）5.1.16</t>
  </si>
  <si>
    <t>依据《中国南方电网有限责任公司工作票实施规范》（配电部分），《电力线路工作安全技术交底单》填写时施工应采取的安全措施（   ）线路重合闸或再启动功能投退要求：与拟填写工作票的填写要求一致。</t>
  </si>
  <si>
    <t>应拉断路器（开关）和隔离开关（刀闸）（注明编号）</t>
  </si>
  <si>
    <t>应合接地刀闸（注明编号）、装接地线（注明确实地点）</t>
  </si>
  <si>
    <t>应设遮栏、应挂标示牌（注明位置）</t>
  </si>
  <si>
    <t>保留的带电线路或带电设备（注明确实地点）</t>
  </si>
  <si>
    <t>《中国南方电网有限责任公司工作票实施规范》（配电部分）5.3.12</t>
  </si>
  <si>
    <t>依据《中国南方电网有限责任公司工作票实施规范》（配电部分），《厂站第一种工作票》填写时工作班人员（不包括工作负责人）：（   ）。</t>
  </si>
  <si>
    <t>工作班不分组时应填写除工作负责人以外的所有工作人员（包含工作人员、参与工作的厂家人员以及特种设备操作人员）姓名</t>
  </si>
  <si>
    <t>工作班分组时，填写工作小组负责人姓名，并用括号加数字在小组工作负责人后面注明包括该小组工作负责人在内的小组总人数</t>
  </si>
  <si>
    <t>工作负责人兼任一个工作小组负责人时，应重复填写工作负责人姓名</t>
  </si>
  <si>
    <t>试验班组人员不用单独分组填写</t>
  </si>
  <si>
    <t>《中国南方电网有限责任公司工作票实施规范》（配电部分）5.4.7</t>
  </si>
  <si>
    <t>依据《中国南方电网有限责任公司工作票实施规范》（配电部分），《线路第一种工作票》填写时，应装设的接地线栏：“线路名称及杆号”填写工作班组自行负责组织实施的工作接地线的（  ），及具体的位置（大号侧或小号侧）。若使用分相式接地线时，则应填写相别。</t>
  </si>
  <si>
    <t>线路所属变电站名称</t>
  </si>
  <si>
    <t>线路电压等级</t>
  </si>
  <si>
    <t>线路编号</t>
  </si>
  <si>
    <t>线路名称和杆塔号（或电缆终端编号）</t>
  </si>
  <si>
    <t>BD</t>
  </si>
  <si>
    <t>《中国南方电网有限责任公司工作票实施规范》（配电部分）5.7.13</t>
  </si>
  <si>
    <t>判断题</t>
  </si>
  <si>
    <t>《中国南方电网有限责任公司电力安全工作规程》规定，厂站是发电厂、变电站、开关站、换流站、串补站以及高压配电设备所在区域的总称。</t>
  </si>
  <si>
    <t>正确</t>
  </si>
  <si>
    <t>错误</t>
  </si>
  <si>
    <t>《中国南方电网有限责任公司电力安全工作规程》规定，高压配电设备是指1kV以上、20kV及以下，设置于配电站、开关站等室内或封闭空间内的，完成电力分配功能的电气装置。</t>
  </si>
  <si>
    <t>《中国南方电网有限责任公司电力安全工作规程》规定，低压配电网是指1kV及以下非厂站的低压配电线路和低压配电设备。</t>
  </si>
  <si>
    <t>隔离开关在合位置时，能承载正常回路条件下的电流，能承载规定时间内异常条件（包括短路）下的电流的开关设备，俗称刀闸。</t>
  </si>
  <si>
    <t>3.20</t>
  </si>
  <si>
    <t>新员工、实习人员和临时作业人员，经过安全教育培训后，方可进入现场参加工作。</t>
  </si>
  <si>
    <t>5.2.2.4</t>
  </si>
  <si>
    <t>工作票填写可由施工单位技术人员或资料员代为办理。</t>
  </si>
  <si>
    <t>值班负责人的安全责任不包括审查检修工期是否与批准期限相符。</t>
  </si>
  <si>
    <t>工作负责人（监护人）应由熟悉工作班人员安全意识与安全技能及技术水平，具有充分与必要的现场作业实践经验，及相应管理工作能力的人员担任</t>
  </si>
  <si>
    <t xml:space="preserve">6.3.2.2 </t>
  </si>
  <si>
    <t>涂写杆塔号、装拆标示牌、补装塔材、非接触性仪器测量的工作需办理线路第二种工作票</t>
  </si>
  <si>
    <t>6.3.3.10</t>
  </si>
  <si>
    <t>对高压配电网配电开关柜进行带电局部放电测试工作需办理线路第二种工作票</t>
  </si>
  <si>
    <t>厂站内在无需高压设备停电或做安全措施配合的二次系统、动力等回路上的工作选用厂站第三种工作票。</t>
  </si>
  <si>
    <t>灾后抢修工作不能选用紧急抢修工作票。</t>
  </si>
  <si>
    <t>6.3.3.9</t>
  </si>
  <si>
    <t>使用公司工作票到与接入公司电网的用户电气设备上工作时，工作票应由本单位签发，用户单位认可并签名</t>
  </si>
  <si>
    <t>6.4.2.3</t>
  </si>
  <si>
    <t>低压配电网工作票和紧急抢修工作票如需变更工作负责人，应经工作票签发人同意并通知工作许可人，在工作票上记录变更情况和签名，工作负责人允许变更一次。</t>
  </si>
  <si>
    <t>6.9.4</t>
  </si>
  <si>
    <t>调度操作命令票和现场电气操作票操作项目的填写内容应根据线路或设备的竣工图纸等档案资料内容填写。</t>
  </si>
  <si>
    <t>9.4.3.5</t>
  </si>
  <si>
    <t>在低压用电设备上停电工作前，应断开电源、取下熔丝，验明确无电压后即可开始工作。</t>
  </si>
  <si>
    <t>16.5.1.7</t>
  </si>
  <si>
    <t>低压不停电作业前，应采取绝缘隔离、遮蔽带电部分等防止相间或接地短路的有效措施；若无法采取遮蔽措施时，应由有经验的人员进行作业。</t>
  </si>
  <si>
    <t>16.5.2.4</t>
  </si>
  <si>
    <t>依据《中国南方电网有限责任公司工作票实施规范》（配电部分），填写工作票栏目中的内容，用文字表达未能完全清楚时，可附图补充说明，图中设备可用颜色区分示意，宜用红色代表带电、蓝色代表不带电、黑色代表接地等</t>
  </si>
  <si>
    <t>《中国南方电网有限责任公司工作票实施规范》（配电部分）5.1.2</t>
  </si>
  <si>
    <t>依据《中国南方电网有限责任公司工作票实施规范》（配电部分），信息系统办理的工作票,在现场需作废的，应重新办理，若不具备信息系统重新办理条件的，应现场填写纸质工作票，可不必填写工作票编号。</t>
  </si>
  <si>
    <t>《中国南方电网有限责任公司工作票实施规范》（配电部分）5.1.15</t>
  </si>
  <si>
    <t>配电基础题库</t>
  </si>
  <si>
    <t>（ ）是为电网发电、输电、变电、配电、调度等生产作业安全有序实施而设计的一种组织性书面形式控制依据。</t>
  </si>
  <si>
    <t>依据《中国南方电网有限责任公司电力安全工作规程》规定，作业人员有权依据本规程拒绝违章指挥和强令冒险作业，在（）的情况时，有权停止作业或采取可行的应急措施后撤离作业场所，并立即报告</t>
  </si>
  <si>
    <t>安全</t>
  </si>
  <si>
    <t>发现危及人身安全</t>
  </si>
  <si>
    <t>拨打电话</t>
  </si>
  <si>
    <t>接受检查</t>
  </si>
  <si>
    <t>依据《中国南方电网有限责任公司电力安全工作规程》规定，作业人员经县级或二级甲等及以上医疗机构鉴定，无职业禁忌的病症，至少每两年进行一次体检，高处作业人员应（ ）进行一次体检。</t>
  </si>
  <si>
    <t>每一年</t>
  </si>
  <si>
    <t>每两年</t>
  </si>
  <si>
    <t>每三年</t>
  </si>
  <si>
    <t>每四年</t>
  </si>
  <si>
    <t>5.2.1</t>
  </si>
  <si>
    <t>依据《中国南方电网有限责任公司电力安全工作规程》规定，作业人员应接受相应的安全生产教育和岗位技能培训，（ ）上岗。</t>
  </si>
  <si>
    <t>直接</t>
  </si>
  <si>
    <t>经考试合格</t>
  </si>
  <si>
    <t>经考试后</t>
  </si>
  <si>
    <t>经领导批准后</t>
  </si>
  <si>
    <t>5.2.2.1</t>
  </si>
  <si>
    <t>依据《中国南方电网有限责任公司电力安全工作规程》作业现场在室内母线分段部分、母线交叉部分及部分停电检修易误碰带电设备的，应设有明显标志的（ ）。</t>
  </si>
  <si>
    <t>标示牌</t>
  </si>
  <si>
    <t>隔离挡板（护网）</t>
  </si>
  <si>
    <t>警示牌</t>
  </si>
  <si>
    <t>遮拦</t>
  </si>
  <si>
    <t>5.3.1</t>
  </si>
  <si>
    <t>依据《中国南方电网有限责任公司电力安全工作规程》规定，（ ）进入生产场所，应正确佩戴安全帽，但在办公室、值班室、监控室、班组检修室、继电保护室、自动化室、通信及信息机房等场所，确无磕碰、高处坠落或落物等危险的情况下，可不戴安全帽。</t>
  </si>
  <si>
    <t>任何人</t>
  </si>
  <si>
    <t>5.3.5</t>
  </si>
  <si>
    <t>依据《中国南方电网有限责任公司电力安全工作规程》规定，高压设备接地故障时，室内不得接近故障点（ ）以内。</t>
  </si>
  <si>
    <t>5.3.6</t>
  </si>
  <si>
    <t>依据《中国南方电网有限责任公司电力安全工作规程》规定，高压设备接地故障时，室外不得接近故障点（ ）以内。</t>
  </si>
  <si>
    <t>6m</t>
  </si>
  <si>
    <t>8m</t>
  </si>
  <si>
    <t>5m</t>
  </si>
  <si>
    <t>依据《中国南方电网有限责任公司电力安全工作规程》规定，环网柜应在停电、验电、（）后，方可打开柜门。</t>
  </si>
  <si>
    <t>悬挂标示牌</t>
  </si>
  <si>
    <t>合上接地刀闸</t>
  </si>
  <si>
    <t>装设围栏</t>
  </si>
  <si>
    <t>解除挂锁</t>
  </si>
  <si>
    <t>5.3.7</t>
  </si>
  <si>
    <t>依据《中国南方电网有限责任公司电力安全工作规程》规定，施工用电设施应由（）安装维护，严禁私拉乱接，严禁将电线直接钩挂在闸刀上或直接插入插座内使用。</t>
  </si>
  <si>
    <t>取得资质的人员</t>
  </si>
  <si>
    <t>班组成员</t>
  </si>
  <si>
    <t>5.4.3</t>
  </si>
  <si>
    <t>工作方案应根据（  ），依据作业的危险性、复杂性和困难程度，制定有针对性的组织措施、安全措施和技术措施。</t>
  </si>
  <si>
    <t>停电批复结果</t>
  </si>
  <si>
    <t>现场勘察结果</t>
  </si>
  <si>
    <t>设备运维单位意见</t>
  </si>
  <si>
    <t>承包商工作建议</t>
  </si>
  <si>
    <t>作业开工前，工作负责人或（  ）若认为现场实际情况与原勘察结果可能发生变化时，应重新核实，必要时应修正、完善相应的安全措施，或重新办理工作票。</t>
  </si>
  <si>
    <t>工作监护人</t>
  </si>
  <si>
    <t>工作分组负责人</t>
  </si>
  <si>
    <t>工作分组监护人</t>
  </si>
  <si>
    <t>以上三种都不对</t>
  </si>
  <si>
    <t>高压设备带电作业需选用（   ）。</t>
  </si>
  <si>
    <t>线路第一种工作票</t>
  </si>
  <si>
    <t>厂站第一种工作票</t>
  </si>
  <si>
    <t>厂站第二种工作票</t>
  </si>
  <si>
    <t>带电作业工作票</t>
  </si>
  <si>
    <t>6.3.3.8</t>
  </si>
  <si>
    <t>填用数日内有效的线路第一种工作票，每日收工时若将工作地点所装设的（ ）拆除，次日恢复工作前应重新验电、接地。</t>
  </si>
  <si>
    <t>安全遮拦</t>
  </si>
  <si>
    <t>接地线</t>
  </si>
  <si>
    <t>6.7.3.2</t>
  </si>
  <si>
    <t>检修设备停电时，与停电设备有关的变压器和电压互感器，应将其（    ）断开。</t>
  </si>
  <si>
    <t>高压侧</t>
  </si>
  <si>
    <t>低压侧</t>
  </si>
  <si>
    <t>任意一侧</t>
  </si>
  <si>
    <t>各侧</t>
  </si>
  <si>
    <t>7.2.1.1</t>
  </si>
  <si>
    <t>邻近或交叉其他220kV电力架空线路的工作时，人体或材料与带电线路的安全距离小于（  ），同时无其他可靠安全措施的情况下，高压线路应停电。</t>
  </si>
  <si>
    <t>7.2.3.1</t>
  </si>
  <si>
    <t>验电前，应先在（  ）上确证验电器良好，后立即在停电设备上实施验电。</t>
  </si>
  <si>
    <t>任意电压的带电设备</t>
  </si>
  <si>
    <t>相应电压的带电设备</t>
  </si>
  <si>
    <t>相应电压的停电设备</t>
  </si>
  <si>
    <t>任意电压的停电设备</t>
  </si>
  <si>
    <t>7.3.2</t>
  </si>
  <si>
    <t>装设接地线、个人保安线时，（），拆除接地线的顺序与此相反。</t>
  </si>
  <si>
    <t>应先装导体（线）端，后装接地端</t>
  </si>
  <si>
    <t>同时安装导体（线）端，接地端</t>
  </si>
  <si>
    <t>应先装接地端，后装导体（线）端</t>
  </si>
  <si>
    <t>以上三种方式均可</t>
  </si>
  <si>
    <t>7.4.1.5</t>
  </si>
  <si>
    <t>在厂站、高压配电线路和低压配电网装拆接地线时，应戴（  ）。</t>
  </si>
  <si>
    <t>棉质手套</t>
  </si>
  <si>
    <t>胶手套</t>
  </si>
  <si>
    <t>皮手套</t>
  </si>
  <si>
    <t>绝缘手套</t>
  </si>
  <si>
    <t>7.4.1.8</t>
  </si>
  <si>
    <t xml:space="preserve">当验明检修的低压配电网确已无电压后，可在断开点加锁、悬挂（）的标示牌。现场确实无法加锁的，应在断开点派专人现场看守，防止反送电：
</t>
  </si>
  <si>
    <t>“禁止合闸，有人工作！”或“止步，高压危险”</t>
  </si>
  <si>
    <t>“在此工作”或“止步，高压危险”</t>
  </si>
  <si>
    <t>“禁止合闸，有人工作！”或“禁止合闸，线路有人工作！”</t>
  </si>
  <si>
    <t>“禁止合闸，线路有人工作！”或“止步，高压危险”</t>
  </si>
  <si>
    <t>7.4.3.8</t>
  </si>
  <si>
    <t>在工作地段有感应电伤害风险时，应在作业地点装设（ ）。</t>
  </si>
  <si>
    <t>围栏</t>
  </si>
  <si>
    <t>个人保安线</t>
  </si>
  <si>
    <t>7.4.4.3</t>
  </si>
  <si>
    <t>操作中发生疑问时，应（   ）。</t>
  </si>
  <si>
    <t>立即停止操作</t>
  </si>
  <si>
    <t xml:space="preserve"> 解除闭锁装置后继续操作</t>
  </si>
  <si>
    <t>无须查明问题即继续操作</t>
  </si>
  <si>
    <t xml:space="preserve"> 更改操作票后继续操作</t>
  </si>
  <si>
    <t>9.4.5.5</t>
  </si>
  <si>
    <t>送电操作应按照（   ）的顺序依次操作。</t>
  </si>
  <si>
    <t>断路器→负荷侧隔离开关→电源（母线）侧隔离开关</t>
  </si>
  <si>
    <t>负荷侧隔离开关→电源（母线）侧隔离开关→断路器</t>
  </si>
  <si>
    <t>电源（母线）侧隔离开关→负荷侧隔离开关→断路器</t>
  </si>
  <si>
    <t>9.5.1.1</t>
  </si>
  <si>
    <t>发生人身触电事故时，为解救触电人，可以（   ）。</t>
  </si>
  <si>
    <t>不经许可，立即断开有关设备的电源，但事后应及时报告设备有关单位</t>
  </si>
  <si>
    <t>不经许可，立即断开有关设备的电源，事后无须报告设备有关单位</t>
  </si>
  <si>
    <t>经许可后，再断开有关设备的电源，事后应及时报告设备有关单位</t>
  </si>
  <si>
    <t>经许可后，再断开有关设备的电源，事后无须报告设备有关单位</t>
  </si>
  <si>
    <t>9.5.1.3</t>
  </si>
  <si>
    <t>更换直线绝缘子串，移动或开断导线的作业，当采用单吊线装置时，应采取防止导线脱落的后备保护措施。开断高压配电线路导线时（）进行，开断后应及时对开断的导线端部采取绝缘包裹等遮蔽措施。</t>
  </si>
  <si>
    <t>可三相上同时</t>
  </si>
  <si>
    <t>不得两相及以上同时</t>
  </si>
  <si>
    <t>可两相及以上同时</t>
  </si>
  <si>
    <t>11.2.5</t>
  </si>
  <si>
    <t>高压配电线路带电作业实施绝缘隔离措施时，应（），拆除时顺序相反</t>
  </si>
  <si>
    <t>按先远后近、先下后上的顺序进行</t>
  </si>
  <si>
    <t>按先近后远、先上后下的顺序进行</t>
  </si>
  <si>
    <t>按先近后远、先下后上的顺序进行</t>
  </si>
  <si>
    <t>11.2.10</t>
  </si>
  <si>
    <t>带电断、接空载电缆线路的连接引线应采取消弧措施，不应直接带电断、接。断、接电缆引线前应检查相序并做好标志。10kV 空载电缆长度不宜大于3km。当空载电缆电容电流大于（）A 时，应使用消弧开关进行操作。</t>
  </si>
  <si>
    <t>11.4.5</t>
  </si>
  <si>
    <t>风力大于（   ）级时应停止在带电线路杆塔上的作业。</t>
  </si>
  <si>
    <t xml:space="preserve">12.3.3 </t>
  </si>
  <si>
    <t>工作人员和工器具与邻近或交叉的110kV带电线路的距离不得小于（    ）。</t>
  </si>
  <si>
    <t xml:space="preserve">12.4.1 </t>
  </si>
  <si>
    <t>在交叉档内松紧、降低或架设导（地）线的工作，只有停电检修线路在带电线路（      ）方时方可进行，并应采取措施防止导（地）线产生跳动或过牵引而与带电导线的距离小于规定的安全距离。</t>
  </si>
  <si>
    <t>上</t>
  </si>
  <si>
    <t>下</t>
  </si>
  <si>
    <t>左</t>
  </si>
  <si>
    <t>右</t>
  </si>
  <si>
    <t xml:space="preserve">12.4.4 </t>
  </si>
  <si>
    <t>杆塔施工过程需要采用临时拉线过夜时，应对临时拉线采取（       ）措施。</t>
  </si>
  <si>
    <t>加固和防盗</t>
  </si>
  <si>
    <t>竖标示牌</t>
  </si>
  <si>
    <t>设置围栏</t>
  </si>
  <si>
    <t>悬挂指示灯</t>
  </si>
  <si>
    <t>14.1.3</t>
  </si>
  <si>
    <t>新立杆塔在（     ）或未做好临时拉线前，不应攀登。</t>
  </si>
  <si>
    <t xml:space="preserve">未安装金具   </t>
  </si>
  <si>
    <t xml:space="preserve">杆基未完全牢固   </t>
  </si>
  <si>
    <t>未编号</t>
  </si>
  <si>
    <t>未架线</t>
  </si>
  <si>
    <t xml:space="preserve">14.3.3 </t>
  </si>
  <si>
    <t>在10kV带电设备附近进行立撤杆时，杆塔、拉线、临时拉线与带电设备的安全距离应不少于（）米，且有防止立、撤杆过程中拉线跳动和杆塔倾斜接近带电导线的措施。</t>
  </si>
  <si>
    <t>14.4.14</t>
  </si>
  <si>
    <t>开启高压电缆分支箱（室）门应（）进行，接触电缆设备前应验明确无电压并接地。</t>
  </si>
  <si>
    <t>单独</t>
  </si>
  <si>
    <t>两人</t>
  </si>
  <si>
    <t>三人</t>
  </si>
  <si>
    <t>15.2.12</t>
  </si>
  <si>
    <t>电力电缆试验要拆除接地线时，应征得（ ）的许可，方可进行。</t>
  </si>
  <si>
    <t>运行人员</t>
  </si>
  <si>
    <t xml:space="preserve">15.3.1  </t>
  </si>
  <si>
    <t>依据《中国南方电网有限责任公司电力安全工作规程》，10kV户外电力装置的裸露部分在跨越人行过道或作业区时，若导电部分对地高度小于（  ）时，该裸露部分两侧和底部应装设护网。</t>
  </si>
  <si>
    <t>2.7米</t>
  </si>
  <si>
    <t>2.8米</t>
  </si>
  <si>
    <t>2.9米</t>
  </si>
  <si>
    <t>3米</t>
  </si>
  <si>
    <t>16.1.3</t>
  </si>
  <si>
    <t>环网柜部分停电工作，若进线柜线路侧有电，应在进线柜设置遮栏，悬挂（   ）标示牌；</t>
  </si>
  <si>
    <t>止步，高压危险</t>
  </si>
  <si>
    <t>禁止合闸，有人工作</t>
  </si>
  <si>
    <t>禁止攀登</t>
  </si>
  <si>
    <t>禁止合闸，线路有人工作</t>
  </si>
  <si>
    <t>16.2.6</t>
  </si>
  <si>
    <t>进入变压器室工作前，应将变压器高压侧短路接地、低压侧短路接地或采取(   )措施。</t>
  </si>
  <si>
    <t>绝缘遮蔽</t>
  </si>
  <si>
    <t>解开绝缘</t>
  </si>
  <si>
    <t>拆除遮蔽</t>
  </si>
  <si>
    <t>拆除隔离</t>
  </si>
  <si>
    <t>16.2.12</t>
  </si>
  <si>
    <t>低压屏（柜）内需要低压出线停电的工作，应（  ）相应出线的空气开关，并在低压出线电缆头上验电、装设接地线，以防止向工作地点反送电。</t>
  </si>
  <si>
    <t>合上</t>
  </si>
  <si>
    <t>断开</t>
  </si>
  <si>
    <t>核对</t>
  </si>
  <si>
    <t>以上都不对</t>
  </si>
  <si>
    <t>16.5.1.5</t>
  </si>
  <si>
    <t>低压不停电的接线或拆线作业应逐相完成，并恢复该相（   ）后，方可进行下一步的作业。</t>
  </si>
  <si>
    <t>供电</t>
  </si>
  <si>
    <t>负荷</t>
  </si>
  <si>
    <t>绝缘</t>
  </si>
  <si>
    <t>接地</t>
  </si>
  <si>
    <t>16.5.2.7</t>
  </si>
  <si>
    <t>电气测量时，人体与10kV高压带电部位的距离不得小于（  ）米的作业安全距离。</t>
  </si>
  <si>
    <t>0.7</t>
  </si>
  <si>
    <t>1.0</t>
  </si>
  <si>
    <t>1.5</t>
  </si>
  <si>
    <t>3.0</t>
  </si>
  <si>
    <t>18.1.3</t>
  </si>
  <si>
    <t>患有精神病、癫痫病及经县级或二级甲等及以上医疗机构鉴定患有高血压、心脏病等不宜从事高处作业的人员，不应参加（）。</t>
  </si>
  <si>
    <t>地面作业</t>
  </si>
  <si>
    <t>继保作业</t>
  </si>
  <si>
    <t>高处作业</t>
  </si>
  <si>
    <t>试验作业</t>
  </si>
  <si>
    <t>20.1.1</t>
  </si>
  <si>
    <t>依据《中国南方电网有限责任公司电力安全工作规程》，保险带、绳使用长度在（  ）以上的应加缓冲器。</t>
  </si>
  <si>
    <t xml:space="preserve"> 1.5m </t>
  </si>
  <si>
    <t xml:space="preserve">2m </t>
  </si>
  <si>
    <t xml:space="preserve"> 2.5m </t>
  </si>
  <si>
    <t xml:space="preserve">3m </t>
  </si>
  <si>
    <t>26.2.3.5</t>
  </si>
  <si>
    <t>发现绝缘工具受潮或表面损伤、脏污时，应（）。</t>
  </si>
  <si>
    <t>无需理会，继续使用</t>
  </si>
  <si>
    <t>清理干净，即可使用</t>
  </si>
  <si>
    <t>及时处理并经试验合格后方可使用</t>
  </si>
  <si>
    <t>及时处理并经试验即可使用</t>
  </si>
  <si>
    <t>27.2.4</t>
  </si>
  <si>
    <t>电气工具使用前应检查（）是否完好，有无接地线；不合格的禁止使用。</t>
  </si>
  <si>
    <t>电线</t>
  </si>
  <si>
    <t>使用说明书</t>
  </si>
  <si>
    <t>操作规程</t>
  </si>
  <si>
    <t>外壳</t>
  </si>
  <si>
    <t>29.1.1.1</t>
  </si>
  <si>
    <t>触电急救应分秒必争，一经明确心跳、呼吸停止的，立即就地迅速用（）进行抢救，并坚持不断地进行，同时及早与医疗急救中心联系，争取医务人员接替救治。</t>
  </si>
  <si>
    <t>输血</t>
  </si>
  <si>
    <t>通畅气道</t>
  </si>
  <si>
    <t>心肺复苏法</t>
  </si>
  <si>
    <t>农村电网低压电气安全工作规程E2.1</t>
  </si>
  <si>
    <t>若发现操作SF6断路器（或SF6负荷开关）漏气时，应立即远离现场（戴防毒面具、穿防护服除外）。室外应远离漏气点10m以上，并处在（）；室内应撤至室外。</t>
  </si>
  <si>
    <t>下风口</t>
  </si>
  <si>
    <t>上风口</t>
  </si>
  <si>
    <t>漏气设备前</t>
  </si>
  <si>
    <t>电气操作导则4.2.7</t>
  </si>
  <si>
    <t>低压配电及装表接电作业时，装（拆）不经电流互感器的电能表、电流表时，线路（）。</t>
  </si>
  <si>
    <t>需停电</t>
  </si>
  <si>
    <t>可带负荷</t>
  </si>
  <si>
    <t>不得带负荷</t>
  </si>
  <si>
    <t>农村电网低压电气安全工作规程13.7</t>
  </si>
  <si>
    <t>填写《线路第一种工作票》工作任务时，需填写线路（），及本次计划安排的工作内容。</t>
  </si>
  <si>
    <t>电压等级、地点</t>
  </si>
  <si>
    <t>电压等级、名称</t>
  </si>
  <si>
    <t>名称、地点</t>
  </si>
  <si>
    <t>名称、编号</t>
  </si>
  <si>
    <t>工作票实施规范（配电部分）5.7.9</t>
  </si>
  <si>
    <t>作业人员有权依据《中国南方电网有限责任公司电力安全工作规程》拒绝违章指挥和强令冒险作业，在发现危及人身安全的情况时，（ ），并立即报告。</t>
  </si>
  <si>
    <t>继续冒险作业</t>
  </si>
  <si>
    <t>有权停止作业</t>
  </si>
  <si>
    <t>采取可行的应急措施后撤离作业场所</t>
  </si>
  <si>
    <t>BC</t>
  </si>
  <si>
    <t>作业人员的基本条件包括：（ ）</t>
  </si>
  <si>
    <t>经县级或二级甲等及以上医疗机构鉴定，无职业禁忌的病症，至少每两年进行一次体检，高处作业人员应每年进行一次体检。</t>
  </si>
  <si>
    <t>按其岗位和工作性质，熟悉《中国南方电网有限责任公司电力安全工作规程》的相关部分</t>
  </si>
  <si>
    <t>应具备必要的电气、安全及相关知识和技能。</t>
  </si>
  <si>
    <t>从事电气作业的人员应掌握触电急救等救护法。</t>
  </si>
  <si>
    <t>环网柜应在（）后，方可打开柜门。</t>
  </si>
  <si>
    <t>停电</t>
  </si>
  <si>
    <t>验电</t>
  </si>
  <si>
    <t>作业前应召开现场工前会，由工作负责人对工作班组所有人员或工作分组负责人、工作分组负责人对分组人员进行安全交代。交代内容包括（   ）安全措施及注意事项。</t>
  </si>
  <si>
    <t>作业开始及结束时间</t>
  </si>
  <si>
    <t>作业开工前，工作负责人或工作许可人若认为现场实际情况与原勘察结果可能发生变化时，应重新核实，必要时应修正、完善相应的（  ），或重新办理（  ）。</t>
  </si>
  <si>
    <t>组织措施</t>
  </si>
  <si>
    <t xml:space="preserve">亲自并正确完整地填写工作票。 </t>
  </si>
  <si>
    <t>依据《中国南方电网有限责任公司电力安全工作规程》，工作负责人(监护人)的安全责任包括了监护工作班人员（   ）。</t>
  </si>
  <si>
    <t>执行现场安全措施</t>
  </si>
  <si>
    <t>执行技术措施</t>
  </si>
  <si>
    <t>正确使用劳动防护用品和工器具</t>
  </si>
  <si>
    <t>在作业中不发生违章作业、违反劳动纪律的行为</t>
  </si>
  <si>
    <t>工作班人员应相互关心作业安全，（   ）。</t>
  </si>
  <si>
    <t>不伤害自己</t>
  </si>
  <si>
    <t>不伤害他人</t>
  </si>
  <si>
    <t>不被他人伤害</t>
  </si>
  <si>
    <t>保护他人不受伤害</t>
  </si>
  <si>
    <t>工作班人员应具有较强的安全意识、相应的安全技能及必要的作业技能；清楚并掌握（   ）。</t>
  </si>
  <si>
    <t>工作任务和内容</t>
  </si>
  <si>
    <t>工作地点</t>
  </si>
  <si>
    <t>危险点</t>
  </si>
  <si>
    <t>存在的安全风险及应采取的控制措施</t>
  </si>
  <si>
    <t>6.3.2.5</t>
  </si>
  <si>
    <t>工作许可后，工作负责人、工作许可人和值班人员任何一方不应擅自变更（   ）和（   ）。</t>
  </si>
  <si>
    <t>临时措施</t>
  </si>
  <si>
    <t>运行方式</t>
  </si>
  <si>
    <t>作业方法</t>
  </si>
  <si>
    <t>6.9.3</t>
  </si>
  <si>
    <t>工作期间，工作负责人因故暂时离开工作现场时，应暂停工作或指定有资质的人员临时代替，并交代清楚（   ），并告知工作许可人和工作班人员。</t>
  </si>
  <si>
    <t>工作任务</t>
  </si>
  <si>
    <t>现场安全措施</t>
  </si>
  <si>
    <t>工作班人员情况</t>
  </si>
  <si>
    <t>其他注意事项</t>
  </si>
  <si>
    <t>6.9.5</t>
  </si>
  <si>
    <t>在电气设备上工作时，保证安全的技术措施包括（  ）。</t>
  </si>
  <si>
    <t>悬挂标示牌和装设遮栏（围栏）</t>
  </si>
  <si>
    <t>7.1.1</t>
  </si>
  <si>
    <t>符合以下情况之一的，低压配电网应停电：（  ）</t>
  </si>
  <si>
    <t>检修的低压配电线路或设备</t>
  </si>
  <si>
    <t>危及线路停电作业安全且不能采取相应安全措施的交叉跨越、平行或同杆塔架设线路</t>
  </si>
  <si>
    <t>工作地段内有可能反送电的各分支线</t>
  </si>
  <si>
    <t>其他需要停电的低压配电线路或设备</t>
  </si>
  <si>
    <t>7.2.4.1</t>
  </si>
  <si>
    <t>线路停电作业装设接地线应遵守以下规定：（  ）</t>
  </si>
  <si>
    <t>工作地段各端以及可能送电到检修线路工作地段的分支线都应装设接地线</t>
  </si>
  <si>
    <t>直流接地极线路上的作业点两端应装设接地线</t>
  </si>
  <si>
    <t>配合停电的线路，可只在工作地点附近装设一处接地线</t>
  </si>
  <si>
    <t>以上选项均不对</t>
  </si>
  <si>
    <t>7.4.3.4</t>
  </si>
  <si>
    <t>当验明检修的低压配电网确已无电压后，至少应采取以下措施之一防止反送电：（  ）</t>
  </si>
  <si>
    <t>所有相线和零线接地并短路</t>
  </si>
  <si>
    <t>在断开点加锁、悬挂“禁止合闸，有人工作！”或“禁止合闸，线路有人工作！”的标示牌。</t>
  </si>
  <si>
    <t>在断开点确实无法加锁的，应在断开点派专人现场看守。</t>
  </si>
  <si>
    <t>电气操作票所列监护人的安全责任，包括：（   ）。</t>
  </si>
  <si>
    <t>审核操作人填写的电气操作票</t>
  </si>
  <si>
    <t xml:space="preserve"> 按操作票顺序向操作人发布操作指令</t>
  </si>
  <si>
    <t>监护操作人执行操作指令</t>
  </si>
  <si>
    <t>操作过程中出现的疑问及异常时汇报值班负责人</t>
  </si>
  <si>
    <t>9.4.1.2</t>
  </si>
  <si>
    <t>执行操作票操作中应做到“三禁止”，“三禁止”是指：（   ）。</t>
  </si>
  <si>
    <t>禁止中断操作</t>
  </si>
  <si>
    <t xml:space="preserve">禁止监护人直接操作   </t>
  </si>
  <si>
    <t>禁止有疑问时盲目操作</t>
  </si>
  <si>
    <t>禁止边操作边做其他无关事项</t>
  </si>
  <si>
    <t>9.4.5.3</t>
  </si>
  <si>
    <t>调度下达命令和现场电气操作，严禁（   ）情况发生。</t>
  </si>
  <si>
    <t>带负荷拉（合）隔离开关</t>
  </si>
  <si>
    <t>带接地刀闸（接地线）合断路器（隔离开关）</t>
  </si>
  <si>
    <t>带电合（挂）接地刀闸（接地线）</t>
  </si>
  <si>
    <t>误分（合）断路器</t>
  </si>
  <si>
    <t>9.5.1.2</t>
  </si>
  <si>
    <t>高压配电线路带电作业绝缘遮蔽或隔离用具有脱落的可能时，应采用可靠措施进行（）。作业位置周围如有接地拉线和低压线等设施，不满足作业安全距离时，也应进行（）。</t>
  </si>
  <si>
    <t>绑扎、固定</t>
  </si>
  <si>
    <t>拆除</t>
  </si>
  <si>
    <t>绝缘遮蔽或隔离</t>
  </si>
  <si>
    <t>AC</t>
  </si>
  <si>
    <t>11.2.11</t>
  </si>
  <si>
    <t>使用临时拉线的安全要求（       ）。</t>
  </si>
  <si>
    <t>不应利用树木或外露岩石作受力桩。</t>
  </si>
  <si>
    <t xml:space="preserve"> 一个锚桩上的临时拉线不应超过两根。</t>
  </si>
  <si>
    <t xml:space="preserve"> 临时拉线不应固定在有可能移动或其他不可靠的物体上。</t>
  </si>
  <si>
    <t xml:space="preserve"> 临时拉线绑扎工作应由有经验的人员担任。</t>
  </si>
  <si>
    <t>带电插拔肘型电缆终端接头时应使用（）。</t>
  </si>
  <si>
    <t>绝缘操作棒</t>
  </si>
  <si>
    <t>戴绝缘手套</t>
  </si>
  <si>
    <t>护目镜</t>
  </si>
  <si>
    <t>15.2.11</t>
  </si>
  <si>
    <t>低压电气工作前，应用低压验电器或测电笔检验（   )是否有电。</t>
  </si>
  <si>
    <t>检修设备</t>
  </si>
  <si>
    <t>材料设备</t>
  </si>
  <si>
    <t>金属外壳</t>
  </si>
  <si>
    <t>相邻设备</t>
  </si>
  <si>
    <t>16.5.1.1</t>
  </si>
  <si>
    <t>低压屏（柜）内需要低压出线停电的工作，应（  ），以防止向工作地点反送电。</t>
  </si>
  <si>
    <t>断开相应出线的空气开关</t>
  </si>
  <si>
    <t>在低压出线电缆头上验电</t>
  </si>
  <si>
    <t>在低压出线电缆头装设接地线</t>
  </si>
  <si>
    <t>合上相应出线的空气开关</t>
  </si>
  <si>
    <t>安全带应采用（）的方式，不应系挂在（）的物件上。</t>
  </si>
  <si>
    <t>高挂低用</t>
  </si>
  <si>
    <t>移动</t>
  </si>
  <si>
    <t>锋利</t>
  </si>
  <si>
    <t>不牢固</t>
  </si>
  <si>
    <t>20.2.2</t>
  </si>
  <si>
    <t>依据《中国南方电网有限责任公司电力安全工作规程》，脚扣和登高板在以下什么情况下不能使用？（  ）：</t>
  </si>
  <si>
    <t>金属部分变形</t>
  </si>
  <si>
    <t>金属部分损伤</t>
  </si>
  <si>
    <t>绳（带）损伤</t>
  </si>
  <si>
    <t>出厂铭牌损伤</t>
  </si>
  <si>
    <t>26.2.4</t>
  </si>
  <si>
    <t>依据《中国南方电网有限责任公司电力安全工作规程》，携带型接地线使用前应检查是否完好， 如发现（  ）均不应使用。</t>
  </si>
  <si>
    <t>绞线松股</t>
  </si>
  <si>
    <t>绞线断股</t>
  </si>
  <si>
    <t>护套严重破损</t>
  </si>
  <si>
    <t>夹具断裂松动</t>
  </si>
  <si>
    <t>26.2.5.2</t>
  </si>
  <si>
    <t>高压触电，可采取下列方法使触电者脱离电源：</t>
  </si>
  <si>
    <t>立即通知有关供电单位或用户停电</t>
  </si>
  <si>
    <t>带上绝缘手套、穿上绝缘靴，使用相应电压等级的绝缘工具按顺序拉开电源开关或熔断器</t>
  </si>
  <si>
    <t>抛掷裸金属线使线路短路接地，迫使保护装置动作，断开电源</t>
  </si>
  <si>
    <t>向领导报告，等待处理</t>
  </si>
  <si>
    <t>农村电网低压电气安全工作规程E2.2.4</t>
  </si>
  <si>
    <t>进行电容器停电工作时，应先断开电源，将电容器（）后才能进行工作。</t>
  </si>
  <si>
    <t>充分放电</t>
  </si>
  <si>
    <t>装设接电线</t>
  </si>
  <si>
    <t>农村电网低压电气安全工作规程13.1.4</t>
  </si>
  <si>
    <t>工作票中的关键词不应有错漏，否则应重新填写。关键词主要包括：断路器、隔离开关、接地刀闸、保护压板等设备的（），（）；断开、合上、投上、取下、短接、拆除、投入、装设、插入、悬挂等操作动词；有关设备编号的阿拉伯数字，甲、乙，一、二，Ⅰ、Ⅱ，A、B 等</t>
  </si>
  <si>
    <t>接地线安装位置</t>
  </si>
  <si>
    <t>接地线编号</t>
  </si>
  <si>
    <t>围栏装设位置</t>
  </si>
  <si>
    <t>工作票实施规范（配电部分）5.1.7</t>
  </si>
  <si>
    <t>依据《中国南方电网有限责任公司电力安全工作规程》，作业现场室内母线分段部分、母线交叉部分及部分停电检修易误碰带电设备的，应设有明显标志的隔离挡板（护网）。</t>
  </si>
  <si>
    <t>高压设备接地故障时，室内不得接近故障点4m以内，室外不得接近故障点8m以内。进入上述范围的人员应穿绝缘靴，接触设备的外壳和构架应戴绝缘手套。</t>
  </si>
  <si>
    <t>依据《中国南方电网有限责任公司电力安全工作规程》规定，作业现场施工用电设施应由取得资质的人员安装维护，严禁私拉乱接，但可以将电线直接钩挂在闸刀上或直接插入插座内使用。</t>
  </si>
  <si>
    <t>室外工作，如遇雷、雨、风等恶劣天气或其他可能危及作业人员安全的情况时，工作负责人或专责监护人根据实际情况，有权决定临时停止工作。</t>
  </si>
  <si>
    <t>6.7.1.1</t>
  </si>
  <si>
    <t>检修设备停电，应将各方面的电源完全断开，允许在只经断路器断开电源或只经换流器闭锁隔离电源的设备上工作。</t>
  </si>
  <si>
    <t>人员工作中与10kV及以下带电设备的距离大于0.35m小于0.7m，同时无绝缘隔板、安全遮栏等措施的，厂站设备应停电。</t>
  </si>
  <si>
    <t>7.2.2.1</t>
  </si>
  <si>
    <t>两台及以上配电变压器低压侧共用一个接地引下线时，其中任一台配电变压器停电检修，其他配电变压器无须停电。</t>
  </si>
  <si>
    <t>7.2.3.2</t>
  </si>
  <si>
    <t>低压配电网停电工作前，对工作中有可能触碰的相邻带电线路、设备应采取停电或绝缘遮蔽措施。</t>
  </si>
  <si>
    <t>7.2.4.2</t>
  </si>
  <si>
    <t>在工作地段有感应电伤害风险时，应在作业地点装设个人保安线。</t>
  </si>
  <si>
    <t xml:space="preserve">工作人员视情况可开启直接封闭带电部分的高压设备柜门、箱盖、封板等。 </t>
  </si>
  <si>
    <t xml:space="preserve">8.1.5 </t>
  </si>
  <si>
    <t>监护操作，操作人在操作过程中不准有任何未经监护人同意的操作行为。</t>
  </si>
  <si>
    <t>9.4.5.1</t>
  </si>
  <si>
    <t>现场电气操作严禁误入带电间隔。</t>
  </si>
  <si>
    <t>临时拉线应在永久拉线全部安装完毕承力后方可拆除。</t>
  </si>
  <si>
    <t>攀登杆塔前，应检查杆根、基础和拉线是否牢固。</t>
  </si>
  <si>
    <t xml:space="preserve">14.3.2 </t>
  </si>
  <si>
    <t>电缆耐压试验前，加压端应做好安全措施，防止人员误入试验场所。另一端应设置围栏并挂上警告标示牌。</t>
  </si>
  <si>
    <t xml:space="preserve">15.3.2  </t>
  </si>
  <si>
    <t>依据《中国南方电网有限责任公司电力安全工作规程》，架空绝缘导线可视为绝缘设备，但不可直接接触或接近。</t>
  </si>
  <si>
    <t>16.3.6</t>
  </si>
  <si>
    <t>低压不停电作业前，应采取绝缘隔离、遮蔽带电部分等防止相间或接地短路的有效措施；若无法采取遮蔽措施时，则将影响作业的带电设备停电。</t>
  </si>
  <si>
    <t>雷电天气时，禁止测量接地电阻、设备绝缘电阻及进行高压侧核相工作。</t>
  </si>
  <si>
    <t>18.1.1</t>
  </si>
  <si>
    <t>依据《中国南方电网有限责任公司电力安全工作规程》，凡发现工作人员有饮酒、精神不振时，禁止登高作业。</t>
  </si>
  <si>
    <t>20.1.2</t>
  </si>
  <si>
    <t>两台及以上起重设备抬吊同一物件，应制订专门的起重作业安全技术措施，并经设备运维单位审批，作业时应有专门技术负责人在场指导。</t>
  </si>
  <si>
    <t>25.1.6</t>
  </si>
  <si>
    <t>配电基础题库案例分析客观题</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</si>
  <si>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以上事件定义为（）</t>
  </si>
  <si>
    <t>220kV一般电气误操作</t>
  </si>
  <si>
    <t>220kV设备误动</t>
  </si>
  <si>
    <t>220kV恶性电气误操作</t>
  </si>
  <si>
    <t xml:space="preserve">调度误调度 </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</si>
  <si>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在停电的电气设备上接地（装设接地线或合接地刀闸）前，应（），验明电气设备确无电压。</t>
  </si>
  <si>
    <t>先验电</t>
  </si>
  <si>
    <t>直接操作</t>
  </si>
  <si>
    <t>用手触摸设备</t>
  </si>
  <si>
    <t>以上均不正确</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</si>
  <si>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操作中禁止防误操作闭锁功能（装置）随意退出运行，若需解除闭锁功能（装置）应（）。</t>
  </si>
  <si>
    <t>经当值调度同意</t>
  </si>
  <si>
    <t>经运行单位按解锁技术流程批准</t>
  </si>
  <si>
    <t>经操作人员和监护人员讨论后自行决定</t>
  </si>
  <si>
    <t>操作人自行判断决定</t>
  </si>
  <si>
    <t>某变电站220kV 甲线 6666 开关代路运行中，为处理该开关B相 CT 故障，调度员向该站下达“将 220kV 甲线 6666开关由冷备用转检修”的综合令。在操作过程中，因五防系统故障，模拟操作无法进行，需要解锁五防后进行操作。监护人在没有履行解锁操作手续的情况下，自行取出了解锁钥匙。到现场后，操作人和监护人错误地走到 666640 地刀（线路地刀）的操作位置， 在没有再次进行验电，没有核对设备编号的情况下，操作人员用解锁钥匙打开 220kV甲线666640 地刀五防锁，插入操作杆进行了操作。操作造成220kV甲线6666线路带电合上接地刀闸，导致了220kV甲线跳闸。
执行操作票操作中应做到“三禁止”，不包括（）</t>
  </si>
  <si>
    <t>禁止监护人直接操作</t>
  </si>
  <si>
    <t>禁止避雨</t>
  </si>
  <si>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以上事件定义为（）</t>
  </si>
  <si>
    <t>一般电力设备事故</t>
  </si>
  <si>
    <t>一般电力人身事故</t>
  </si>
  <si>
    <t>较大电力人身事故</t>
  </si>
  <si>
    <t>一般电力安全事故</t>
  </si>
  <si>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装设接地线应先装（ ），后装（ ）；拆除接地线应先拆（ ），后拆（ ）。</t>
  </si>
  <si>
    <t xml:space="preserve">接地端，导体端；导体端，接地端 </t>
  </si>
  <si>
    <t>导体端，接地端；导体端，接地端</t>
  </si>
  <si>
    <t>导体端，接地端；接地端，导体端</t>
  </si>
  <si>
    <t>接地端，导体端；接地端，导体端</t>
  </si>
  <si>
    <t xml:space="preserve">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成套接地线截面积不应小于（  ）。 </t>
  </si>
  <si>
    <r>
      <rPr>
        <sz val="10"/>
        <color theme="1"/>
        <rFont val="宋体"/>
        <charset val="134"/>
      </rPr>
      <t>10mm</t>
    </r>
    <r>
      <rPr>
        <vertAlign val="superscript"/>
        <sz val="10"/>
        <color indexed="8"/>
        <rFont val="宋体"/>
        <charset val="134"/>
      </rPr>
      <t>2</t>
    </r>
  </si>
  <si>
    <r>
      <rPr>
        <sz val="10"/>
        <color theme="1"/>
        <rFont val="宋体"/>
        <charset val="134"/>
      </rPr>
      <t>16mm</t>
    </r>
    <r>
      <rPr>
        <vertAlign val="superscript"/>
        <sz val="10"/>
        <color indexed="8"/>
        <rFont val="宋体"/>
        <charset val="134"/>
      </rPr>
      <t>2</t>
    </r>
  </si>
  <si>
    <r>
      <rPr>
        <sz val="10"/>
        <color theme="1"/>
        <rFont val="宋体"/>
        <charset val="134"/>
      </rPr>
      <t>25mm</t>
    </r>
    <r>
      <rPr>
        <vertAlign val="superscript"/>
        <sz val="10"/>
        <color indexed="8"/>
        <rFont val="宋体"/>
        <charset val="134"/>
      </rPr>
      <t>2</t>
    </r>
  </si>
  <si>
    <r>
      <rPr>
        <sz val="10"/>
        <color theme="1"/>
        <rFont val="宋体"/>
        <charset val="134"/>
      </rPr>
      <t>30mm</t>
    </r>
    <r>
      <rPr>
        <vertAlign val="superscript"/>
        <sz val="10"/>
        <color indexed="8"/>
        <rFont val="宋体"/>
        <charset val="134"/>
      </rPr>
      <t>2</t>
    </r>
  </si>
  <si>
    <t>某公司的施工班长周某带领 11 人进行某线#1 杆至#25 杆中压架空线路大修及抗风加固。根据工作安排，龙某和杨某两个人一班，到#5 杆挂安全接地线。 龙某是施工员， 杨某是监护人。杨某打好接地桩后发现验电笔和绝缘手套没有带，随后跑回车上寻找。此时，龙某在没有监护人的情况下登上了#4 杆，进行挂接安全接地线，导致触电死亡。
在发生人身触电时,可（）：</t>
  </si>
  <si>
    <t>不经许可，立即断开有关设备的电源</t>
  </si>
  <si>
    <t>立即报告相关领导，经批准后方可断开设备电源</t>
  </si>
  <si>
    <t>继续维持设备运行</t>
  </si>
  <si>
    <t>视系统运行情况安排停电</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</si>
  <si>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以上事件定义为（）。</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</si>
  <si>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调度命令票中，操作人的安全责任不包括（）。</t>
  </si>
  <si>
    <t>按照电网实时运行方式、调度检修申请单的有关方式和现场安全措施的要求正确完整地填写调度命令票</t>
  </si>
  <si>
    <t>按照调度命令票内容正确无误地进行操作</t>
  </si>
  <si>
    <t>随时掌握现场的实际操作情况与调度命令票要求一致</t>
  </si>
  <si>
    <t>负责审批调度命令票</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</si>
  <si>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操作票填写应实行“三对照”，不包括：（   ）。</t>
  </si>
  <si>
    <t>某变电站进行220kVA线2051刀闸检修工作，在A线2051刀闸靠母线侧、开关侧各装设一组接地线。该项工作结束后，值班员考虑到将陆续进行该站220kV I 母其余7组刀闸检修工作，经中调同意保留了2051刀闸靠母线侧所装设的一组接地线。几天后，220kVB线2071刀闸检修工作结束。中调下达综合令：将该站220kV B线207开关由220kV旁路270开关代路运行恢复至本开关运行。由于#1母线仍处于检修状态，应将开关复电于II母线。但操作人通过“五防”系统按“220kV B线207开关恢复至220kV I 母运行”的操作项目填写操作票。操作人自审后交监护人初审，监护人初审后交予值班负责人复审。值班负责人仅审核操作任务、未对操作项目进行审核即下令操作。操作人在合上220kV B线207开关后，由于A线2051靠220kV I 母侧装设有一组接地线，220kV旁路270开关、220kV B线207开关跳闸。
调度操作命令票和现场电气操作票实行“三审签字”制度，不包括（）。</t>
  </si>
  <si>
    <t>操作票操作人自审签名</t>
  </si>
  <si>
    <t>监护人审核签名</t>
  </si>
  <si>
    <t>归属调度审核签名</t>
  </si>
  <si>
    <t>值班负责人审批签名</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</si>
  <si>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以上事件定义为（）</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</si>
  <si>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在发生人身触电时,可（）：</t>
  </si>
  <si>
    <t>某电力安装工程有限公司罗某未办理工作票带着吉某、王某处理文砖厂主线#18杆接线头烧坏故障，在未布置任何安全措施的情况下，吉某就挎着工作包系着安全带登杆进行作业，罗某、王某俩人负责地面工作，不久听到吉某喊一声“完了”，罗某和王某抬头看到吉某所施工的电线杆上的电线冒着火花，吉某挂在电线杆上，造成吉某死亡。
在电气设备上工作时，应有（）等保证安全的技术措施。</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</si>
  <si>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以上事件定义为（）</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</si>
  <si>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巡视人员发现导线断落地面或悬吊空中，应设法防止行人靠近断线地点（）以内，并迅速报告上级。</t>
  </si>
  <si>
    <t>10m</t>
  </si>
  <si>
    <t>某供电局员工符某，在未办理工作票、未正确穿工作服、未戴绝缘手套、未穿绝缘靴、未经许可的情况下冒险登杆使用绝缘杆清理搭挂在10kV导线上的椰树叶，处理过程中椰树叶着火引起绝缘跳线及夹护套的绝缘材料着火熔化下滴，并滴在符某脸上，符某返回地面时发生触电造成1人死亡。 
在线路带电情况下，砍剪靠近线路的树木时，工作负责人必须
在工作开始前，向全体人员说明：10kV电力线路有电，人员、树木、绳索应与导线保持（）米安全距离。</t>
  </si>
  <si>
    <t>Sheet1</t>
  </si>
  <si>
    <t>题目</t>
  </si>
  <si>
    <t>选中错题及未做题目时,暂时无法切换上一题</t>
  </si>
  <si>
    <t>1A</t>
  </si>
  <si>
    <t>2B</t>
  </si>
  <si>
    <t>3C</t>
  </si>
  <si>
    <t>4D</t>
  </si>
  <si>
    <t>在右侧
填写1234
或ABCD
或点击左侧按钮</t>
  </si>
</sst>
</file>

<file path=xl/styles.xml><?xml version="1.0" encoding="utf-8"?>
<styleSheet xmlns="http://schemas.openxmlformats.org/spreadsheetml/2006/main">
  <numFmts count="4">
    <numFmt numFmtId="42" formatCode="_ &quot;￥&quot;* #,##0_ ;_ &quot;￥&quot;* \-#,##0_ ;_ &quot;￥&quot;* &quot;-&quot;_ ;_ @_ "/>
    <numFmt numFmtId="44" formatCode="_ &quot;￥&quot;* #,##0.00_ ;_ &quot;￥&quot;* \-#,##0.00_ ;_ &quot;￥&quot;* &quot;-&quot;??_ ;_ @_ "/>
    <numFmt numFmtId="41" formatCode="_ * #,##0_ ;_ * \-#,##0_ ;_ * &quot;-&quot;_ ;_ @_ "/>
    <numFmt numFmtId="43" formatCode="_ * #,##0.00_ ;_ * \-#,##0.00_ ;_ * &quot;-&quot;??_ ;_ @_ "/>
  </numFmts>
  <fonts count="36">
    <font>
      <sz val="11"/>
      <color theme="1"/>
      <name val="宋体"/>
      <charset val="134"/>
      <scheme val="minor"/>
    </font>
    <font>
      <sz val="11"/>
      <color theme="0" tint="-0.15"/>
      <name val="宋体"/>
      <charset val="134"/>
      <scheme val="minor"/>
    </font>
    <font>
      <b/>
      <sz val="14"/>
      <color theme="0" tint="-0.15"/>
      <name val="宋体"/>
      <charset val="134"/>
      <scheme val="minor"/>
    </font>
    <font>
      <sz val="11"/>
      <color rgb="FFFFFFFF"/>
      <name val="宋体"/>
      <charset val="134"/>
      <scheme val="minor"/>
    </font>
    <font>
      <b/>
      <sz val="14"/>
      <color rgb="FFFFFFFF"/>
      <name val="宋体"/>
      <charset val="134"/>
      <scheme val="minor"/>
    </font>
    <font>
      <b/>
      <sz val="14"/>
      <color theme="1"/>
      <name val="宋体"/>
      <charset val="134"/>
      <scheme val="minor"/>
    </font>
    <font>
      <sz val="9"/>
      <color theme="1"/>
      <name val="宋体"/>
      <charset val="134"/>
      <scheme val="minor"/>
    </font>
    <font>
      <b/>
      <sz val="16"/>
      <color theme="1"/>
      <name val="宋体"/>
      <charset val="134"/>
      <scheme val="minor"/>
    </font>
    <font>
      <b/>
      <sz val="14"/>
      <color rgb="FF1AE47A"/>
      <name val="宋体"/>
      <charset val="134"/>
      <scheme val="minor"/>
    </font>
    <font>
      <b/>
      <sz val="18"/>
      <color theme="1"/>
      <name val="宋体"/>
      <charset val="134"/>
      <scheme val="minor"/>
    </font>
    <font>
      <b/>
      <sz val="12"/>
      <name val="宋体"/>
      <charset val="134"/>
    </font>
    <font>
      <sz val="10"/>
      <name val="宋体"/>
      <charset val="134"/>
    </font>
    <font>
      <sz val="11"/>
      <color rgb="FFFF0000"/>
      <name val="宋体"/>
      <charset val="134"/>
      <scheme val="minor"/>
    </font>
    <font>
      <sz val="10"/>
      <color theme="1"/>
      <name val="宋体"/>
      <charset val="134"/>
    </font>
    <font>
      <sz val="12"/>
      <name val="宋体"/>
      <charset val="134"/>
    </font>
    <font>
      <sz val="11"/>
      <color indexed="8"/>
      <name val="宋体"/>
      <charset val="134"/>
    </font>
    <font>
      <sz val="11"/>
      <color theme="1"/>
      <name val="宋体"/>
      <charset val="0"/>
      <scheme val="minor"/>
    </font>
    <font>
      <sz val="11"/>
      <color rgb="FFFA7D00"/>
      <name val="宋体"/>
      <charset val="0"/>
      <scheme val="minor"/>
    </font>
    <font>
      <b/>
      <sz val="15"/>
      <color theme="3"/>
      <name val="宋体"/>
      <charset val="134"/>
      <scheme val="minor"/>
    </font>
    <font>
      <sz val="11"/>
      <color theme="0"/>
      <name val="宋体"/>
      <charset val="0"/>
      <scheme val="minor"/>
    </font>
    <font>
      <b/>
      <sz val="11"/>
      <color rgb="FFFA7D00"/>
      <name val="宋体"/>
      <charset val="0"/>
      <scheme val="minor"/>
    </font>
    <font>
      <b/>
      <sz val="11"/>
      <color theme="3"/>
      <name val="宋体"/>
      <charset val="134"/>
      <scheme val="minor"/>
    </font>
    <font>
      <sz val="11"/>
      <color rgb="FF9C0006"/>
      <name val="宋体"/>
      <charset val="0"/>
      <scheme val="minor"/>
    </font>
    <font>
      <b/>
      <sz val="11"/>
      <color rgb="FFFFFFFF"/>
      <name val="宋体"/>
      <charset val="0"/>
      <scheme val="minor"/>
    </font>
    <font>
      <b/>
      <sz val="11"/>
      <color rgb="FF3F3F3F"/>
      <name val="宋体"/>
      <charset val="0"/>
      <scheme val="minor"/>
    </font>
    <font>
      <i/>
      <sz val="11"/>
      <color rgb="FF7F7F7F"/>
      <name val="宋体"/>
      <charset val="0"/>
      <scheme val="minor"/>
    </font>
    <font>
      <u/>
      <sz val="11"/>
      <color rgb="FF800080"/>
      <name val="宋体"/>
      <charset val="0"/>
      <scheme val="minor"/>
    </font>
    <font>
      <sz val="11"/>
      <color rgb="FF9C6500"/>
      <name val="宋体"/>
      <charset val="0"/>
      <scheme val="minor"/>
    </font>
    <font>
      <b/>
      <sz val="11"/>
      <color theme="1"/>
      <name val="宋体"/>
      <charset val="0"/>
      <scheme val="minor"/>
    </font>
    <font>
      <b/>
      <sz val="13"/>
      <color theme="3"/>
      <name val="宋体"/>
      <charset val="134"/>
      <scheme val="minor"/>
    </font>
    <font>
      <sz val="11"/>
      <color rgb="FFFF0000"/>
      <name val="宋体"/>
      <charset val="0"/>
      <scheme val="minor"/>
    </font>
    <font>
      <sz val="11"/>
      <color rgb="FF3F3F76"/>
      <name val="宋体"/>
      <charset val="0"/>
      <scheme val="minor"/>
    </font>
    <font>
      <sz val="11"/>
      <color rgb="FF006100"/>
      <name val="宋体"/>
      <charset val="0"/>
      <scheme val="minor"/>
    </font>
    <font>
      <b/>
      <sz val="18"/>
      <color theme="3"/>
      <name val="宋体"/>
      <charset val="134"/>
      <scheme val="minor"/>
    </font>
    <font>
      <u/>
      <sz val="11"/>
      <color rgb="FF0000FF"/>
      <name val="宋体"/>
      <charset val="0"/>
      <scheme val="minor"/>
    </font>
    <font>
      <vertAlign val="superscript"/>
      <sz val="10"/>
      <color indexed="8"/>
      <name val="宋体"/>
      <charset val="134"/>
    </font>
  </fonts>
  <fills count="35">
    <fill>
      <patternFill patternType="none"/>
    </fill>
    <fill>
      <patternFill patternType="gray125"/>
    </fill>
    <fill>
      <patternFill patternType="solid">
        <fgColor theme="7" tint="0.8"/>
        <bgColor indexed="64"/>
      </patternFill>
    </fill>
    <fill>
      <patternFill patternType="solid">
        <fgColor theme="0"/>
        <bgColor indexed="64"/>
      </patternFill>
    </fill>
    <fill>
      <patternFill patternType="solid">
        <fgColor theme="5" tint="0.799981688894314"/>
        <bgColor indexed="64"/>
      </patternFill>
    </fill>
    <fill>
      <patternFill patternType="solid">
        <fgColor theme="6" tint="0.799981688894314"/>
        <bgColor indexed="64"/>
      </patternFill>
    </fill>
    <fill>
      <patternFill patternType="solid">
        <fgColor theme="9"/>
        <bgColor indexed="64"/>
      </patternFill>
    </fill>
    <fill>
      <patternFill patternType="solid">
        <fgColor theme="5" tint="0.599993896298105"/>
        <bgColor indexed="64"/>
      </patternFill>
    </fill>
    <fill>
      <patternFill patternType="solid">
        <fgColor theme="5"/>
        <bgColor indexed="64"/>
      </patternFill>
    </fill>
    <fill>
      <patternFill patternType="solid">
        <fgColor rgb="FFF2F2F2"/>
        <bgColor indexed="64"/>
      </patternFill>
    </fill>
    <fill>
      <patternFill patternType="solid">
        <fgColor rgb="FFFFC7CE"/>
        <bgColor indexed="64"/>
      </patternFill>
    </fill>
    <fill>
      <patternFill patternType="solid">
        <fgColor rgb="FFA5A5A5"/>
        <bgColor indexed="64"/>
      </patternFill>
    </fill>
    <fill>
      <patternFill patternType="solid">
        <fgColor theme="7" tint="0.399975585192419"/>
        <bgColor indexed="64"/>
      </patternFill>
    </fill>
    <fill>
      <patternFill patternType="solid">
        <fgColor theme="6" tint="0.599993896298105"/>
        <bgColor indexed="64"/>
      </patternFill>
    </fill>
    <fill>
      <patternFill patternType="solid">
        <fgColor theme="9" tint="0.599993896298105"/>
        <bgColor indexed="64"/>
      </patternFill>
    </fill>
    <fill>
      <patternFill patternType="solid">
        <fgColor theme="8" tint="0.599993896298105"/>
        <bgColor indexed="64"/>
      </patternFill>
    </fill>
    <fill>
      <patternFill patternType="solid">
        <fgColor theme="8" tint="0.799981688894314"/>
        <bgColor indexed="64"/>
      </patternFill>
    </fill>
    <fill>
      <patternFill patternType="solid">
        <fgColor rgb="FFFFEB9C"/>
        <bgColor indexed="64"/>
      </patternFill>
    </fill>
    <fill>
      <patternFill patternType="solid">
        <fgColor theme="7" tint="0.599993896298105"/>
        <bgColor indexed="64"/>
      </patternFill>
    </fill>
    <fill>
      <patternFill patternType="solid">
        <fgColor theme="7"/>
        <bgColor indexed="64"/>
      </patternFill>
    </fill>
    <fill>
      <patternFill patternType="solid">
        <fgColor theme="4" tint="0.599993896298105"/>
        <bgColor indexed="64"/>
      </patternFill>
    </fill>
    <fill>
      <patternFill patternType="solid">
        <fgColor theme="8" tint="0.399975585192419"/>
        <bgColor indexed="64"/>
      </patternFill>
    </fill>
    <fill>
      <patternFill patternType="solid">
        <fgColor theme="8"/>
        <bgColor indexed="64"/>
      </patternFill>
    </fill>
    <fill>
      <patternFill patternType="solid">
        <fgColor theme="6"/>
        <bgColor indexed="64"/>
      </patternFill>
    </fill>
    <fill>
      <patternFill patternType="solid">
        <fgColor rgb="FFFFCC99"/>
        <bgColor indexed="64"/>
      </patternFill>
    </fill>
    <fill>
      <patternFill patternType="solid">
        <fgColor theme="7" tint="0.799981688894314"/>
        <bgColor indexed="64"/>
      </patternFill>
    </fill>
    <fill>
      <patternFill patternType="solid">
        <fgColor theme="4"/>
        <bgColor indexed="64"/>
      </patternFill>
    </fill>
    <fill>
      <patternFill patternType="solid">
        <fgColor rgb="FFC6EFCE"/>
        <bgColor indexed="64"/>
      </patternFill>
    </fill>
    <fill>
      <patternFill patternType="solid">
        <fgColor theme="5" tint="0.399975585192419"/>
        <bgColor indexed="64"/>
      </patternFill>
    </fill>
    <fill>
      <patternFill patternType="solid">
        <fgColor rgb="FFFFFFCC"/>
        <bgColor indexed="64"/>
      </patternFill>
    </fill>
    <fill>
      <patternFill patternType="solid">
        <fgColor theme="6" tint="0.399975585192419"/>
        <bgColor indexed="64"/>
      </patternFill>
    </fill>
    <fill>
      <patternFill patternType="solid">
        <fgColor theme="9" tint="0.399975585192419"/>
        <bgColor indexed="64"/>
      </patternFill>
    </fill>
    <fill>
      <patternFill patternType="solid">
        <fgColor theme="4" tint="0.799981688894314"/>
        <bgColor indexed="64"/>
      </patternFill>
    </fill>
    <fill>
      <patternFill patternType="solid">
        <fgColor theme="9" tint="0.799981688894314"/>
        <bgColor indexed="64"/>
      </patternFill>
    </fill>
    <fill>
      <patternFill patternType="solid">
        <fgColor theme="4" tint="0.399975585192419"/>
        <bgColor indexed="64"/>
      </patternFill>
    </fill>
  </fills>
  <borders count="13">
    <border>
      <left/>
      <right/>
      <top/>
      <bottom/>
      <diagonal/>
    </border>
    <border>
      <left style="medium">
        <color auto="1"/>
      </left>
      <right style="medium">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auto="1"/>
      </left>
      <right style="thin">
        <color auto="1"/>
      </right>
      <top style="thin">
        <color auto="1"/>
      </top>
      <bottom/>
      <diagonal/>
    </border>
    <border>
      <left/>
      <right/>
      <top/>
      <bottom style="double">
        <color rgb="FFFF8001"/>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double">
        <color rgb="FF3F3F3F"/>
      </left>
      <right style="double">
        <color rgb="FF3F3F3F"/>
      </right>
      <top style="double">
        <color rgb="FF3F3F3F"/>
      </top>
      <bottom style="double">
        <color rgb="FF3F3F3F"/>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B2B2B2"/>
      </left>
      <right style="thin">
        <color rgb="FFB2B2B2"/>
      </right>
      <top style="thin">
        <color rgb="FFB2B2B2"/>
      </top>
      <bottom style="thin">
        <color rgb="FFB2B2B2"/>
      </bottom>
      <diagonal/>
    </border>
  </borders>
  <cellStyleXfs count="50">
    <xf numFmtId="0" fontId="0" fillId="0" borderId="0">
      <alignment vertical="center"/>
    </xf>
    <xf numFmtId="42" fontId="0" fillId="0" borderId="0" applyFont="0" applyFill="0" applyBorder="0" applyAlignment="0" applyProtection="0">
      <alignment vertical="center"/>
    </xf>
    <xf numFmtId="0" fontId="16" fillId="5" borderId="0" applyNumberFormat="0" applyBorder="0" applyAlignment="0" applyProtection="0">
      <alignment vertical="center"/>
    </xf>
    <xf numFmtId="0" fontId="31" fillId="24" borderId="7"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6" fillId="13" borderId="0" applyNumberFormat="0" applyBorder="0" applyAlignment="0" applyProtection="0">
      <alignment vertical="center"/>
    </xf>
    <xf numFmtId="0" fontId="22" fillId="10" borderId="0" applyNumberFormat="0" applyBorder="0" applyAlignment="0" applyProtection="0">
      <alignment vertical="center"/>
    </xf>
    <xf numFmtId="43" fontId="0" fillId="0" borderId="0" applyFont="0" applyFill="0" applyBorder="0" applyAlignment="0" applyProtection="0">
      <alignment vertical="center"/>
    </xf>
    <xf numFmtId="0" fontId="19" fillId="30" borderId="0" applyNumberFormat="0" applyBorder="0" applyAlignment="0" applyProtection="0">
      <alignment vertical="center"/>
    </xf>
    <xf numFmtId="0" fontId="34" fillId="0" borderId="0" applyNumberFormat="0" applyFill="0" applyBorder="0" applyAlignment="0" applyProtection="0">
      <alignment vertical="center"/>
    </xf>
    <xf numFmtId="9" fontId="0" fillId="0" borderId="0" applyFont="0" applyFill="0" applyBorder="0" applyAlignment="0" applyProtection="0">
      <alignment vertical="center"/>
    </xf>
    <xf numFmtId="0" fontId="26" fillId="0" borderId="0" applyNumberFormat="0" applyFill="0" applyBorder="0" applyAlignment="0" applyProtection="0">
      <alignment vertical="center"/>
    </xf>
    <xf numFmtId="0" fontId="0" fillId="29" borderId="12" applyNumberFormat="0" applyFont="0" applyAlignment="0" applyProtection="0">
      <alignment vertical="center"/>
    </xf>
    <xf numFmtId="0" fontId="19" fillId="28" borderId="0" applyNumberFormat="0" applyBorder="0" applyAlignment="0" applyProtection="0">
      <alignment vertical="center"/>
    </xf>
    <xf numFmtId="0" fontId="21"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18" fillId="0" borderId="6" applyNumberFormat="0" applyFill="0" applyAlignment="0" applyProtection="0">
      <alignment vertical="center"/>
    </xf>
    <xf numFmtId="0" fontId="29" fillId="0" borderId="6" applyNumberFormat="0" applyFill="0" applyAlignment="0" applyProtection="0">
      <alignment vertical="center"/>
    </xf>
    <xf numFmtId="0" fontId="19" fillId="34" borderId="0" applyNumberFormat="0" applyBorder="0" applyAlignment="0" applyProtection="0">
      <alignment vertical="center"/>
    </xf>
    <xf numFmtId="0" fontId="21" fillId="0" borderId="8" applyNumberFormat="0" applyFill="0" applyAlignment="0" applyProtection="0">
      <alignment vertical="center"/>
    </xf>
    <xf numFmtId="0" fontId="19" fillId="12" borderId="0" applyNumberFormat="0" applyBorder="0" applyAlignment="0" applyProtection="0">
      <alignment vertical="center"/>
    </xf>
    <xf numFmtId="0" fontId="24" fillId="9" borderId="10" applyNumberFormat="0" applyAlignment="0" applyProtection="0">
      <alignment vertical="center"/>
    </xf>
    <xf numFmtId="0" fontId="20" fillId="9" borderId="7" applyNumberFormat="0" applyAlignment="0" applyProtection="0">
      <alignment vertical="center"/>
    </xf>
    <xf numFmtId="0" fontId="23" fillId="11" borderId="9" applyNumberFormat="0" applyAlignment="0" applyProtection="0">
      <alignment vertical="center"/>
    </xf>
    <xf numFmtId="0" fontId="16" fillId="33" borderId="0" applyNumberFormat="0" applyBorder="0" applyAlignment="0" applyProtection="0">
      <alignment vertical="center"/>
    </xf>
    <xf numFmtId="0" fontId="19" fillId="8" borderId="0" applyNumberFormat="0" applyBorder="0" applyAlignment="0" applyProtection="0">
      <alignment vertical="center"/>
    </xf>
    <xf numFmtId="0" fontId="17" fillId="0" borderId="5" applyNumberFormat="0" applyFill="0" applyAlignment="0" applyProtection="0">
      <alignment vertical="center"/>
    </xf>
    <xf numFmtId="0" fontId="28" fillId="0" borderId="11" applyNumberFormat="0" applyFill="0" applyAlignment="0" applyProtection="0">
      <alignment vertical="center"/>
    </xf>
    <xf numFmtId="0" fontId="32" fillId="27" borderId="0" applyNumberFormat="0" applyBorder="0" applyAlignment="0" applyProtection="0">
      <alignment vertical="center"/>
    </xf>
    <xf numFmtId="0" fontId="27" fillId="17" borderId="0" applyNumberFormat="0" applyBorder="0" applyAlignment="0" applyProtection="0">
      <alignment vertical="center"/>
    </xf>
    <xf numFmtId="0" fontId="16" fillId="16" borderId="0" applyNumberFormat="0" applyBorder="0" applyAlignment="0" applyProtection="0">
      <alignment vertical="center"/>
    </xf>
    <xf numFmtId="0" fontId="19" fillId="26" borderId="0" applyNumberFormat="0" applyBorder="0" applyAlignment="0" applyProtection="0">
      <alignment vertical="center"/>
    </xf>
    <xf numFmtId="0" fontId="16" fillId="32" borderId="0" applyNumberFormat="0" applyBorder="0" applyAlignment="0" applyProtection="0">
      <alignment vertical="center"/>
    </xf>
    <xf numFmtId="0" fontId="16" fillId="20" borderId="0" applyNumberFormat="0" applyBorder="0" applyAlignment="0" applyProtection="0">
      <alignment vertical="center"/>
    </xf>
    <xf numFmtId="0" fontId="16" fillId="4" borderId="0" applyNumberFormat="0" applyBorder="0" applyAlignment="0" applyProtection="0">
      <alignment vertical="center"/>
    </xf>
    <xf numFmtId="0" fontId="16" fillId="7" borderId="0" applyNumberFormat="0" applyBorder="0" applyAlignment="0" applyProtection="0">
      <alignment vertical="center"/>
    </xf>
    <xf numFmtId="0" fontId="19" fillId="23" borderId="0" applyNumberFormat="0" applyBorder="0" applyAlignment="0" applyProtection="0">
      <alignment vertical="center"/>
    </xf>
    <xf numFmtId="0" fontId="19" fillId="19" borderId="0" applyNumberFormat="0" applyBorder="0" applyAlignment="0" applyProtection="0">
      <alignment vertical="center"/>
    </xf>
    <xf numFmtId="0" fontId="16" fillId="25" borderId="0" applyNumberFormat="0" applyBorder="0" applyAlignment="0" applyProtection="0">
      <alignment vertical="center"/>
    </xf>
    <xf numFmtId="0" fontId="16" fillId="18" borderId="0" applyNumberFormat="0" applyBorder="0" applyAlignment="0" applyProtection="0">
      <alignment vertical="center"/>
    </xf>
    <xf numFmtId="0" fontId="19" fillId="22" borderId="0" applyNumberFormat="0" applyBorder="0" applyAlignment="0" applyProtection="0">
      <alignment vertical="center"/>
    </xf>
    <xf numFmtId="0" fontId="16" fillId="15" borderId="0" applyNumberFormat="0" applyBorder="0" applyAlignment="0" applyProtection="0">
      <alignment vertical="center"/>
    </xf>
    <xf numFmtId="0" fontId="19" fillId="21" borderId="0" applyNumberFormat="0" applyBorder="0" applyAlignment="0" applyProtection="0">
      <alignment vertical="center"/>
    </xf>
    <xf numFmtId="0" fontId="19" fillId="6" borderId="0" applyNumberFormat="0" applyBorder="0" applyAlignment="0" applyProtection="0">
      <alignment vertical="center"/>
    </xf>
    <xf numFmtId="0" fontId="16" fillId="14" borderId="0" applyNumberFormat="0" applyBorder="0" applyAlignment="0" applyProtection="0">
      <alignment vertical="center"/>
    </xf>
    <xf numFmtId="0" fontId="19" fillId="31" borderId="0" applyNumberFormat="0" applyBorder="0" applyAlignment="0" applyProtection="0">
      <alignment vertical="center"/>
    </xf>
    <xf numFmtId="0" fontId="15" fillId="0" borderId="0">
      <alignment vertical="center"/>
    </xf>
  </cellStyleXfs>
  <cellXfs count="38">
    <xf numFmtId="0" fontId="0" fillId="0" borderId="0" xfId="0">
      <alignment vertical="center"/>
    </xf>
    <xf numFmtId="0" fontId="0" fillId="0" borderId="0" xfId="0" applyFill="1" applyAlignment="1">
      <alignment vertical="center"/>
    </xf>
    <xf numFmtId="0" fontId="1" fillId="0" borderId="0" xfId="0" applyFont="1" applyFill="1" applyAlignment="1" applyProtection="1">
      <alignment vertical="center"/>
      <protection hidden="1"/>
    </xf>
    <xf numFmtId="0" fontId="0" fillId="0" borderId="0" xfId="0" applyFill="1" applyAlignment="1" applyProtection="1">
      <alignment vertical="center"/>
      <protection hidden="1"/>
    </xf>
    <xf numFmtId="0" fontId="0" fillId="0" borderId="0" xfId="0" applyFill="1" applyAlignment="1" applyProtection="1">
      <alignment vertical="center"/>
    </xf>
    <xf numFmtId="0" fontId="2" fillId="0" borderId="0" xfId="0" applyFont="1" applyFill="1" applyAlignment="1" applyProtection="1">
      <alignment vertical="center"/>
      <protection hidden="1"/>
    </xf>
    <xf numFmtId="0" fontId="3" fillId="0" borderId="0" xfId="0" applyFont="1" applyFill="1" applyAlignment="1" applyProtection="1">
      <alignment vertical="center"/>
      <protection hidden="1"/>
    </xf>
    <xf numFmtId="0" fontId="4" fillId="0" borderId="0" xfId="0" applyFont="1" applyFill="1" applyAlignment="1" applyProtection="1">
      <alignment vertical="center"/>
      <protection hidden="1"/>
    </xf>
    <xf numFmtId="0" fontId="5" fillId="0" borderId="0" xfId="0" applyFont="1" applyFill="1" applyAlignment="1" applyProtection="1">
      <alignment vertical="center"/>
      <protection hidden="1"/>
    </xf>
    <xf numFmtId="0" fontId="5" fillId="0" borderId="0" xfId="0" applyFont="1" applyFill="1" applyAlignment="1" applyProtection="1">
      <alignment vertical="center" wrapText="1"/>
      <protection hidden="1"/>
    </xf>
    <xf numFmtId="0" fontId="4" fillId="0" borderId="0" xfId="0" applyFont="1" applyFill="1" applyAlignment="1" applyProtection="1">
      <alignment vertical="center" wrapText="1"/>
      <protection hidden="1"/>
    </xf>
    <xf numFmtId="0" fontId="6" fillId="0" borderId="0" xfId="0" applyFont="1" applyFill="1" applyAlignment="1" applyProtection="1">
      <alignment horizontal="center" vertical="center" wrapText="1"/>
    </xf>
    <xf numFmtId="0" fontId="0" fillId="0" borderId="0" xfId="0" applyFill="1" applyAlignment="1" applyProtection="1">
      <alignment horizontal="center" vertical="center" wrapText="1"/>
      <protection hidden="1"/>
    </xf>
    <xf numFmtId="0" fontId="0" fillId="0" borderId="0" xfId="0" applyFill="1" applyAlignment="1" applyProtection="1">
      <alignment horizontal="center" vertical="center"/>
    </xf>
    <xf numFmtId="0" fontId="0" fillId="0" borderId="0" xfId="0" applyFill="1" applyAlignment="1" applyProtection="1">
      <alignment vertical="center" wrapText="1"/>
      <protection hidden="1"/>
    </xf>
    <xf numFmtId="0" fontId="7" fillId="2" borderId="1" xfId="0" applyFont="1" applyFill="1" applyBorder="1" applyAlignment="1" applyProtection="1">
      <alignment horizontal="center" vertical="center"/>
      <protection locked="0"/>
    </xf>
    <xf numFmtId="0" fontId="8" fillId="0" borderId="0" xfId="0" applyFont="1" applyFill="1" applyAlignment="1">
      <alignment vertical="center"/>
    </xf>
    <xf numFmtId="0" fontId="9" fillId="0" borderId="0" xfId="0" applyFont="1" applyAlignment="1">
      <alignment horizontal="center" vertical="center"/>
    </xf>
    <xf numFmtId="0" fontId="10" fillId="3" borderId="2" xfId="0" applyFont="1" applyFill="1" applyBorder="1" applyAlignment="1">
      <alignment horizontal="center" vertical="center" wrapText="1"/>
    </xf>
    <xf numFmtId="0" fontId="11" fillId="3" borderId="2" xfId="0" applyFont="1" applyFill="1" applyBorder="1" applyAlignment="1">
      <alignment horizontal="center" vertical="center" wrapText="1"/>
    </xf>
    <xf numFmtId="0" fontId="11" fillId="3" borderId="2" xfId="49" applyFont="1" applyFill="1" applyBorder="1" applyAlignment="1">
      <alignment horizontal="left" vertical="center" wrapText="1"/>
    </xf>
    <xf numFmtId="0" fontId="11" fillId="3" borderId="2" xfId="49" applyFont="1" applyFill="1" applyBorder="1" applyAlignment="1">
      <alignment horizontal="center" vertical="center" wrapText="1"/>
    </xf>
    <xf numFmtId="0" fontId="12" fillId="0" borderId="0" xfId="0" applyFont="1">
      <alignment vertical="center"/>
    </xf>
    <xf numFmtId="0" fontId="12" fillId="0" borderId="0" xfId="0" applyFont="1">
      <alignment vertical="center"/>
    </xf>
    <xf numFmtId="49" fontId="11" fillId="3" borderId="2" xfId="49" applyNumberFormat="1" applyFont="1" applyFill="1" applyBorder="1" applyAlignment="1">
      <alignment horizontal="center" vertical="center" wrapText="1"/>
    </xf>
    <xf numFmtId="0" fontId="13" fillId="0" borderId="2" xfId="0" applyFont="1" applyFill="1" applyBorder="1" applyAlignment="1">
      <alignment horizontal="center" vertical="center" wrapText="1"/>
    </xf>
    <xf numFmtId="0" fontId="13" fillId="0" borderId="2" xfId="49" applyFont="1" applyFill="1" applyBorder="1" applyAlignment="1">
      <alignment horizontal="left" vertical="center" wrapText="1"/>
    </xf>
    <xf numFmtId="0" fontId="13" fillId="0" borderId="2" xfId="49" applyFont="1" applyFill="1" applyBorder="1" applyAlignment="1">
      <alignment horizontal="center" vertical="center" wrapText="1"/>
    </xf>
    <xf numFmtId="0" fontId="11" fillId="0" borderId="2" xfId="0" applyFont="1" applyFill="1" applyBorder="1" applyAlignment="1">
      <alignment horizontal="center" vertical="center" wrapText="1"/>
    </xf>
    <xf numFmtId="0" fontId="11" fillId="0" borderId="2" xfId="49" applyFont="1" applyFill="1" applyBorder="1" applyAlignment="1">
      <alignment horizontal="left" vertical="center" wrapText="1"/>
    </xf>
    <xf numFmtId="0" fontId="11" fillId="0" borderId="2" xfId="49" applyFont="1" applyFill="1" applyBorder="1" applyAlignment="1">
      <alignment horizontal="center" vertical="center" wrapText="1"/>
    </xf>
    <xf numFmtId="0" fontId="13" fillId="0" borderId="3" xfId="0" applyFont="1" applyFill="1" applyBorder="1" applyAlignment="1">
      <alignment vertical="center" wrapText="1"/>
    </xf>
    <xf numFmtId="0" fontId="11" fillId="0" borderId="2" xfId="0" applyFont="1" applyFill="1" applyBorder="1" applyAlignment="1">
      <alignment horizontal="left" vertical="center" wrapText="1"/>
    </xf>
    <xf numFmtId="0" fontId="11" fillId="0" borderId="4" xfId="0" applyFont="1" applyFill="1" applyBorder="1" applyAlignment="1">
      <alignment horizontal="left" vertical="center" wrapText="1"/>
    </xf>
    <xf numFmtId="0" fontId="13" fillId="0" borderId="4" xfId="49" applyFont="1" applyFill="1" applyBorder="1" applyAlignment="1">
      <alignment horizontal="center" vertical="center" wrapText="1"/>
    </xf>
    <xf numFmtId="0" fontId="11" fillId="0" borderId="0" xfId="0" applyFont="1" applyFill="1" applyBorder="1" applyAlignment="1">
      <alignment horizontal="center" vertical="center"/>
    </xf>
    <xf numFmtId="0" fontId="11" fillId="0" borderId="2" xfId="0" applyFont="1" applyFill="1" applyBorder="1" applyAlignment="1">
      <alignment horizontal="center" vertical="center"/>
    </xf>
    <xf numFmtId="0" fontId="14" fillId="0" borderId="2" xfId="0" applyFont="1" applyFill="1" applyBorder="1" applyAlignment="1">
      <alignment horizontal="center" vertical="center"/>
    </xf>
  </cellXfs>
  <cellStyles count="50">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r:id="rId1" ax:persistence="persistStreamInit"/>
</file>

<file path=xl/activeX/activeX2.xml><?xml version="1.0" encoding="utf-8"?>
<ax:ocx xmlns:ax="http://schemas.microsoft.com/office/2006/activeX" xmlns:r="http://schemas.openxmlformats.org/officeDocument/2006/relationships" ax:classid="{8BD21D50-EC42-11CE-9E0D-00AA006002F3}" r:id="rId1" ax:persistence="persistStreamInit"/>
</file>

<file path=xl/activeX/activeX3.xml><?xml version="1.0" encoding="utf-8"?>
<ax:ocx xmlns:ax="http://schemas.microsoft.com/office/2006/activeX" xmlns:r="http://schemas.openxmlformats.org/officeDocument/2006/relationships" ax:classid="{8BD21D50-EC42-11CE-9E0D-00AA006002F3}" r:id="rId1" ax:persistence="persistStreamInit"/>
</file>

<file path=xl/activeX/activeX4.xml><?xml version="1.0" encoding="utf-8"?>
<ax:ocx xmlns:ax="http://schemas.microsoft.com/office/2006/activeX" xmlns:r="http://schemas.openxmlformats.org/officeDocument/2006/relationships" ax:classid="{8BD21D50-EC42-11CE-9E0D-00AA006002F3}" r:id="rId1" ax:persistence="persistStreamInit"/>
</file>

<file path=xl/ctrlProps/ctrlProp5.xml><?xml version="1.0" encoding="utf-8"?>
<formControlPr xmlns="http://schemas.microsoft.com/office/spreadsheetml/2009/9/main" objectType="Button" val="0"/>
</file>

<file path=xl/ctrlProps/ctrlProp6.xml><?xml version="1.0" encoding="utf-8"?>
<formControlPr xmlns="http://schemas.microsoft.com/office/spreadsheetml/2009/9/main" objectType="Button" val="0"/>
</file>

<file path=xl/ctrlProps/ctrlProp7.xml><?xml version="1.0" encoding="utf-8"?>
<formControlPr xmlns="http://schemas.microsoft.com/office/spreadsheetml/2009/9/main" objectType="Button" val="0"/>
</file>

<file path=xl/ctrlProps/ctrlProp8.xml><?xml version="1.0" encoding="utf-8"?>
<formControlPr xmlns="http://schemas.microsoft.com/office/spreadsheetml/2009/9/main" objectType="Button" val="0"/>
</file>

<file path=xl/ctrlProps/ctrlProp9.xml><?xml version="1.0" encoding="utf-8"?>
<formControlPr xmlns="http://schemas.microsoft.com/office/spreadsheetml/2009/9/main" objectType="Button" val="0"/>
</file>

<file path=xl/ctrlProps/ctrlProp10.xml><?xml version="1.0" encoding="utf-8"?>
<formControlPr xmlns="http://schemas.microsoft.com/office/spreadsheetml/2009/9/main" objectType="Button" val="0"/>
</file>

<file path=xl/ctrlProps/ctrlProp11.xml><?xml version="1.0" encoding="utf-8"?>
<formControlPr xmlns="http://schemas.microsoft.com/office/spreadsheetml/2009/9/main" objectType="Button" val="0"/>
</file>

<file path=xl/ctrlProps/ctrlProp12.xml><?xml version="1.0" encoding="utf-8"?>
<formControlPr xmlns="http://schemas.microsoft.com/office/spreadsheetml/2009/9/main" objectType="Button" val="0"/>
</file>

<file path=xl/drawings/_rels/vmlDrawing1.vml.rels><?xml version="1.0" encoding="UTF-8" standalone="yes"?>
<Relationships xmlns="http://schemas.openxmlformats.org/package/2006/relationships"><Relationship Id="rId4" Type="http://schemas.openxmlformats.org/officeDocument/2006/relationships/image" Target="../media/image4.wmf"/><Relationship Id="rId3" Type="http://schemas.openxmlformats.org/officeDocument/2006/relationships/image" Target="../media/image3.wmf"/><Relationship Id="rId2" Type="http://schemas.openxmlformats.org/officeDocument/2006/relationships/image" Target="../media/image2.wmf"/><Relationship Id="rId1" Type="http://schemas.openxmlformats.org/officeDocument/2006/relationships/image" Target="../media/image1.wmf"/></Relationships>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676275</xdr:colOff>
          <xdr:row>4</xdr:row>
          <xdr:rowOff>19050</xdr:rowOff>
        </xdr:from>
        <xdr:to>
          <xdr:col>2</xdr:col>
          <xdr:colOff>0</xdr:colOff>
          <xdr:row>4</xdr:row>
          <xdr:rowOff>1898650</xdr:rowOff>
        </xdr:to>
        <xdr:sp macro="[0]!ButtonA_Click">
          <xdr:nvSpPr>
            <xdr:cNvPr id="1034" name="Button 10" hidden="1">
              <a:extLst>
                <a:ext uri="{63B3BB69-23CF-44E3-9099-C40C66FF867C}">
                  <a14:compatExt spid="_x0000_s1034"/>
                </a:ext>
              </a:extLst>
            </xdr:cNvPr>
            <xdr:cNvSpPr/>
          </xdr:nvSpPr>
          <xdr:spPr>
            <a:xfrm>
              <a:off x="617220" y="1642110"/>
              <a:ext cx="1555115" cy="1879600"/>
            </a:xfrm>
            <a:prstGeom prst="rect">
              <a:avLst/>
            </a:prstGeom>
          </xdr:spPr>
          <xdr:txBody>
            <a:bodyPr vert="horz" wrap="square" lIns="71755" tIns="71755" rIns="71755" bIns="71755" anchor="t" upright="1">
              <a:noAutofit/>
            </a:bodyPr>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工作任务和内容</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19050</xdr:rowOff>
        </xdr:from>
        <xdr:to>
          <xdr:col>3</xdr:col>
          <xdr:colOff>0</xdr:colOff>
          <xdr:row>4</xdr:row>
          <xdr:rowOff>1898650</xdr:rowOff>
        </xdr:to>
        <xdr:sp macro="[0]!ButtonB_Click">
          <xdr:nvSpPr>
            <xdr:cNvPr id="1035" name="Button 11" hidden="1">
              <a:extLst>
                <a:ext uri="{63B3BB69-23CF-44E3-9099-C40C66FF867C}">
                  <a14:compatExt spid="_x0000_s1035"/>
                </a:ext>
              </a:extLst>
            </xdr:cNvPr>
            <xdr:cNvSpPr/>
          </xdr:nvSpPr>
          <xdr:spPr>
            <a:xfrm>
              <a:off x="2172335" y="1642110"/>
              <a:ext cx="155511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工作地点</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4</xdr:row>
          <xdr:rowOff>19050</xdr:rowOff>
        </xdr:from>
        <xdr:to>
          <xdr:col>4</xdr:col>
          <xdr:colOff>5715</xdr:colOff>
          <xdr:row>4</xdr:row>
          <xdr:rowOff>1898650</xdr:rowOff>
        </xdr:to>
        <xdr:sp macro="[0]!ButtonC_Click">
          <xdr:nvSpPr>
            <xdr:cNvPr id="1036" name="Button 12" hidden="1">
              <a:extLst>
                <a:ext uri="{63B3BB69-23CF-44E3-9099-C40C66FF867C}">
                  <a14:compatExt spid="_x0000_s1036"/>
                </a:ext>
              </a:extLst>
            </xdr:cNvPr>
            <xdr:cNvSpPr/>
          </xdr:nvSpPr>
          <xdr:spPr>
            <a:xfrm>
              <a:off x="3736975" y="1642110"/>
              <a:ext cx="155130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危险点</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4</xdr:row>
          <xdr:rowOff>19050</xdr:rowOff>
        </xdr:from>
        <xdr:to>
          <xdr:col>5</xdr:col>
          <xdr:colOff>5715</xdr:colOff>
          <xdr:row>4</xdr:row>
          <xdr:rowOff>1898650</xdr:rowOff>
        </xdr:to>
        <xdr:sp macro="[0]!ButtonD_Click">
          <xdr:nvSpPr>
            <xdr:cNvPr id="1037" name="Button 13" hidden="1">
              <a:extLst>
                <a:ext uri="{63B3BB69-23CF-44E3-9099-C40C66FF867C}">
                  <a14:compatExt spid="_x0000_s1037"/>
                </a:ext>
              </a:extLst>
            </xdr:cNvPr>
            <xdr:cNvSpPr/>
          </xdr:nvSpPr>
          <xdr:spPr>
            <a:xfrm>
              <a:off x="5292090" y="1642110"/>
              <a:ext cx="1551305" cy="1879600"/>
            </a:xfrm>
            <a:prstGeom prst="rect">
              <a:avLst/>
            </a:prstGeom>
          </xdr:spPr>
          <xdr:txBody>
            <a:bodyPr vert="horz" wrap="square" lIns="71755" tIns="71755" rIns="71755" bIns="71755" anchor="t"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l" rtl="0"/>
              <a:r>
                <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存在的安全风险及应采取的控制措施</a:t>
              </a:r>
              <a:endParaRPr lang="zh-CN" altLang="en-US" b="1">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142875</xdr:colOff>
          <xdr:row>3</xdr:row>
          <xdr:rowOff>38100</xdr:rowOff>
        </xdr:from>
        <xdr:to>
          <xdr:col>6</xdr:col>
          <xdr:colOff>495300</xdr:colOff>
          <xdr:row>3</xdr:row>
          <xdr:rowOff>266700</xdr:rowOff>
        </xdr:to>
        <xdr:sp macro="[0]!ButtonConfirm_Click">
          <xdr:nvSpPr>
            <xdr:cNvPr id="1038" name="Button 14" hidden="1">
              <a:extLst>
                <a:ext uri="{63B3BB69-23CF-44E3-9099-C40C66FF867C}">
                  <a14:compatExt spid="_x0000_s1038"/>
                </a:ext>
              </a:extLst>
            </xdr:cNvPr>
            <xdr:cNvSpPr/>
          </xdr:nvSpPr>
          <xdr:spPr>
            <a:xfrm>
              <a:off x="6980555" y="1343660"/>
              <a:ext cx="969645" cy="228600"/>
            </a:xfrm>
            <a:prstGeom prst="rect">
              <a:avLst/>
            </a:prstGeom>
          </xdr:spPr>
          <xdr:txBody>
            <a:bodyPr wrap="square" anchor="ctr"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确定</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xdr:row>
          <xdr:rowOff>57150</xdr:rowOff>
        </xdr:from>
        <xdr:to>
          <xdr:col>8</xdr:col>
          <xdr:colOff>0</xdr:colOff>
          <xdr:row>2</xdr:row>
          <xdr:rowOff>514985</xdr:rowOff>
        </xdr:to>
        <xdr:sp macro="[0]!Pre_Click">
          <xdr:nvSpPr>
            <xdr:cNvPr id="1039" name="Button 15" hidden="1">
              <a:extLst>
                <a:ext uri="{63B3BB69-23CF-44E3-9099-C40C66FF867C}">
                  <a14:compatExt spid="_x0000_s1039"/>
                </a:ext>
              </a:extLst>
            </xdr:cNvPr>
            <xdr:cNvSpPr/>
          </xdr:nvSpPr>
          <xdr:spPr>
            <a:xfrm>
              <a:off x="8119745" y="461010"/>
              <a:ext cx="569595" cy="457835"/>
            </a:xfrm>
            <a:prstGeom prst="rect">
              <a:avLst/>
            </a:prstGeom>
          </xdr:spPr>
          <xdr:txBody>
            <a:bodyPr wrap="square" anchor="ctr" upright="1"/>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上一题</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37465</xdr:colOff>
          <xdr:row>2</xdr:row>
          <xdr:rowOff>38100</xdr:rowOff>
        </xdr:from>
        <xdr:to>
          <xdr:col>9</xdr:col>
          <xdr:colOff>0</xdr:colOff>
          <xdr:row>2</xdr:row>
          <xdr:rowOff>542290</xdr:rowOff>
        </xdr:to>
        <xdr:sp macro="[0]!Next_Click">
          <xdr:nvSpPr>
            <xdr:cNvPr id="1040" name="Button 16" hidden="1">
              <a:extLst>
                <a:ext uri="{63B3BB69-23CF-44E3-9099-C40C66FF867C}">
                  <a14:compatExt spid="_x0000_s1040"/>
                </a:ext>
              </a:extLst>
            </xdr:cNvPr>
            <xdr:cNvSpPr/>
          </xdr:nvSpPr>
          <xdr:spPr>
            <a:xfrm>
              <a:off x="8726805" y="441960"/>
              <a:ext cx="579755" cy="504190"/>
            </a:xfrm>
            <a:prstGeom prst="rect">
              <a:avLst/>
            </a:prstGeom>
          </xdr:spPr>
          <xdr:txBody>
            <a:bodyPr wrap="square" anchor="ctr" upright="1">
              <a:noAutofit/>
            </a:bodyPr>
            <a:lstStyle>
              <a:defPPr>
                <a:defRPr lang="zh-CN"/>
              </a:defPPr>
              <a:lvl1pPr marL="0" algn="l" defTabSz="914400" rtl="0" eaLnBrk="1" latinLnBrk="0" hangingPunct="1">
                <a:defRPr sz="1100">
                  <a:latin typeface="+mn-lt"/>
                  <a:ea typeface="+mn-ea"/>
                  <a:cs typeface="+mn-cs"/>
                </a:defRPr>
              </a:lvl1pPr>
              <a:lvl2pPr marL="457200" algn="l" defTabSz="914400" rtl="0" eaLnBrk="1" latinLnBrk="0" hangingPunct="1">
                <a:defRPr sz="1100">
                  <a:latin typeface="+mn-lt"/>
                  <a:ea typeface="+mn-ea"/>
                  <a:cs typeface="+mn-cs"/>
                </a:defRPr>
              </a:lvl2pPr>
              <a:lvl3pPr marL="914400" algn="l" defTabSz="914400" rtl="0" eaLnBrk="1" latinLnBrk="0" hangingPunct="1">
                <a:defRPr sz="1100">
                  <a:latin typeface="+mn-lt"/>
                  <a:ea typeface="+mn-ea"/>
                  <a:cs typeface="+mn-cs"/>
                </a:defRPr>
              </a:lvl3pPr>
              <a:lvl4pPr marL="1371600" algn="l" defTabSz="914400" rtl="0" eaLnBrk="1" latinLnBrk="0" hangingPunct="1">
                <a:defRPr sz="1100">
                  <a:latin typeface="+mn-lt"/>
                  <a:ea typeface="+mn-ea"/>
                  <a:cs typeface="+mn-cs"/>
                </a:defRPr>
              </a:lvl4pPr>
              <a:lvl5pPr marL="1828800" algn="l" defTabSz="914400" rtl="0" eaLnBrk="1" latinLnBrk="0" hangingPunct="1">
                <a:defRPr sz="1100">
                  <a:latin typeface="+mn-lt"/>
                  <a:ea typeface="+mn-ea"/>
                  <a:cs typeface="+mn-cs"/>
                </a:defRPr>
              </a:lvl5pPr>
              <a:lvl6pPr marL="2286000" algn="l" defTabSz="914400" rtl="0" eaLnBrk="1" latinLnBrk="0" hangingPunct="1">
                <a:defRPr sz="1100">
                  <a:latin typeface="+mn-lt"/>
                  <a:ea typeface="+mn-ea"/>
                  <a:cs typeface="+mn-cs"/>
                </a:defRPr>
              </a:lvl6pPr>
              <a:lvl7pPr marL="2743200" algn="l" defTabSz="914400" rtl="0" eaLnBrk="1" latinLnBrk="0" hangingPunct="1">
                <a:defRPr sz="1100">
                  <a:latin typeface="+mn-lt"/>
                  <a:ea typeface="+mn-ea"/>
                  <a:cs typeface="+mn-cs"/>
                </a:defRPr>
              </a:lvl7pPr>
              <a:lvl8pPr marL="3200400" algn="l" defTabSz="914400" rtl="0" eaLnBrk="1" latinLnBrk="0" hangingPunct="1">
                <a:defRPr sz="1100">
                  <a:latin typeface="+mn-lt"/>
                  <a:ea typeface="+mn-ea"/>
                  <a:cs typeface="+mn-cs"/>
                </a:defRPr>
              </a:lvl8pPr>
              <a:lvl9pPr marL="3657600" algn="l" defTabSz="914400" rtl="0" eaLnBrk="1" latinLnBrk="0" hangingPunct="1">
                <a:defRPr sz="1100">
                  <a:latin typeface="+mn-lt"/>
                  <a:ea typeface="+mn-ea"/>
                  <a:cs typeface="+mn-cs"/>
                </a:defRPr>
              </a:lvl9pPr>
            </a:lstStyle>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下一题</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314325</xdr:colOff>
          <xdr:row>0</xdr:row>
          <xdr:rowOff>28575</xdr:rowOff>
        </xdr:from>
        <xdr:to>
          <xdr:col>5</xdr:col>
          <xdr:colOff>0</xdr:colOff>
          <xdr:row>1</xdr:row>
          <xdr:rowOff>104775</xdr:rowOff>
        </xdr:to>
        <xdr:sp macro="[0]!SwitchShowAnswer">
          <xdr:nvSpPr>
            <xdr:cNvPr id="1041" name="Button 17" hidden="1">
              <a:extLst>
                <a:ext uri="{63B3BB69-23CF-44E3-9099-C40C66FF867C}">
                  <a14:compatExt spid="_x0000_s1041"/>
                </a:ext>
              </a:extLst>
            </xdr:cNvPr>
            <xdr:cNvSpPr/>
          </xdr:nvSpPr>
          <xdr:spPr>
            <a:xfrm>
              <a:off x="5596890" y="28575"/>
              <a:ext cx="1240790" cy="259080"/>
            </a:xfrm>
            <a:prstGeom prst="rect">
              <a:avLst/>
            </a:prstGeom>
          </xdr:spPr>
          <xdr:txBody>
            <a:bodyPr wrap="square" anchor="ctr" upright="1"/>
            <a:p>
              <a:pPr algn="ctr" rtl="0"/>
              <a:r>
                <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rPr>
                <a:t>显示/隐藏答案</a:t>
              </a:r>
              <a:endParaRPr lang="zh-CN" altLang="en-US">
                <a:solidFill>
                  <a:srgbClr val="000000"/>
                </a:solidFill>
                <a:latin typeface="宋体" panose="02010600030101010101" pitchFamily="7" charset="-122"/>
                <a:ea typeface="宋体" panose="02010600030101010101" pitchFamily="7" charset="-122"/>
                <a:cs typeface="宋体" panose="02010600030101010101" pitchFamily="7" charset="-122"/>
                <a:sym typeface="宋体" panose="02010600030101010101" pitchFamily="7"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3</xdr:row>
          <xdr:rowOff>28575</xdr:rowOff>
        </xdr:from>
        <xdr:to>
          <xdr:col>9</xdr:col>
          <xdr:colOff>257175</xdr:colOff>
          <xdr:row>3</xdr:row>
          <xdr:rowOff>257175</xdr:rowOff>
        </xdr:to>
        <xdr:sp>
          <xdr:nvSpPr>
            <xdr:cNvPr id="1043" name="CheckBox1" hidden="1">
              <a:extLst>
                <a:ext uri="{63B3BB69-23CF-44E3-9099-C40C66FF867C}">
                  <a14:compatExt spid="_x0000_s1043"/>
                </a:ext>
              </a:extLst>
            </xdr:cNvPr>
            <xdr:cNvSpPr/>
          </xdr:nvSpPr>
          <xdr:spPr>
            <a:xfrm>
              <a:off x="8205470" y="1334135"/>
              <a:ext cx="1358265" cy="22860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66675</xdr:rowOff>
        </xdr:from>
        <xdr:to>
          <xdr:col>8</xdr:col>
          <xdr:colOff>295275</xdr:colOff>
          <xdr:row>1</xdr:row>
          <xdr:rowOff>95250</xdr:rowOff>
        </xdr:to>
        <xdr:sp>
          <xdr:nvSpPr>
            <xdr:cNvPr id="1048" name="OptionButton1" hidden="1">
              <a:extLst>
                <a:ext uri="{63B3BB69-23CF-44E3-9099-C40C66FF867C}">
                  <a14:compatExt spid="_x0000_s1048"/>
                </a:ext>
              </a:extLst>
            </xdr:cNvPr>
            <xdr:cNvSpPr/>
          </xdr:nvSpPr>
          <xdr:spPr>
            <a:xfrm>
              <a:off x="8138795" y="66675"/>
              <a:ext cx="845820" cy="2114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381000</xdr:colOff>
          <xdr:row>0</xdr:row>
          <xdr:rowOff>66675</xdr:rowOff>
        </xdr:from>
        <xdr:to>
          <xdr:col>9</xdr:col>
          <xdr:colOff>609600</xdr:colOff>
          <xdr:row>1</xdr:row>
          <xdr:rowOff>95250</xdr:rowOff>
        </xdr:to>
        <xdr:sp>
          <xdr:nvSpPr>
            <xdr:cNvPr id="1049" name="OptionButton2" hidden="1">
              <a:extLst>
                <a:ext uri="{63B3BB69-23CF-44E3-9099-C40C66FF867C}">
                  <a14:compatExt spid="_x0000_s1049"/>
                </a:ext>
              </a:extLst>
            </xdr:cNvPr>
            <xdr:cNvSpPr/>
          </xdr:nvSpPr>
          <xdr:spPr>
            <a:xfrm>
              <a:off x="9070340" y="66675"/>
              <a:ext cx="845820" cy="211455"/>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66675</xdr:rowOff>
        </xdr:from>
        <xdr:to>
          <xdr:col>11</xdr:col>
          <xdr:colOff>238125</xdr:colOff>
          <xdr:row>1</xdr:row>
          <xdr:rowOff>95250</xdr:rowOff>
        </xdr:to>
        <xdr:sp>
          <xdr:nvSpPr>
            <xdr:cNvPr id="1050" name="OptionButton3" hidden="1">
              <a:extLst>
                <a:ext uri="{63B3BB69-23CF-44E3-9099-C40C66FF867C}">
                  <a14:compatExt spid="_x0000_s1050"/>
                </a:ext>
              </a:extLst>
            </xdr:cNvPr>
            <xdr:cNvSpPr/>
          </xdr:nvSpPr>
          <xdr:spPr>
            <a:xfrm>
              <a:off x="9933305" y="66675"/>
              <a:ext cx="845820" cy="211455"/>
            </a:xfrm>
            <a:prstGeom prst="rect">
              <a:avLst/>
            </a:prstGeom>
          </xdr:spPr>
        </xdr:sp>
        <xdr:clientData/>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2.xml.rels><?xml version="1.0" encoding="UTF-8" standalone="yes"?>
<Relationships xmlns="http://schemas.openxmlformats.org/package/2006/relationships"><Relationship Id="rId9" Type="http://schemas.openxmlformats.org/officeDocument/2006/relationships/control" Target="../activeX/activeX4.xml"/><Relationship Id="rId8" Type="http://schemas.openxmlformats.org/officeDocument/2006/relationships/image" Target="../media/image3.wmf"/><Relationship Id="rId7" Type="http://schemas.openxmlformats.org/officeDocument/2006/relationships/control" Target="../activeX/activeX3.xml"/><Relationship Id="rId6" Type="http://schemas.openxmlformats.org/officeDocument/2006/relationships/image" Target="../media/image2.wmf"/><Relationship Id="rId5" Type="http://schemas.openxmlformats.org/officeDocument/2006/relationships/control" Target="../activeX/activeX2.xml"/><Relationship Id="rId4" Type="http://schemas.openxmlformats.org/officeDocument/2006/relationships/image" Target="../media/image1.wmf"/><Relationship Id="rId3" Type="http://schemas.openxmlformats.org/officeDocument/2006/relationships/control" Target="../activeX/activeX1.xml"/><Relationship Id="rId2" Type="http://schemas.openxmlformats.org/officeDocument/2006/relationships/vmlDrawing" Target="../drawings/vmlDrawing1.vml"/><Relationship Id="rId18" Type="http://schemas.openxmlformats.org/officeDocument/2006/relationships/ctrlProp" Target="../ctrlProps/ctrlProp12.xml"/><Relationship Id="rId17" Type="http://schemas.openxmlformats.org/officeDocument/2006/relationships/ctrlProp" Target="../ctrlProps/ctrlProp11.xml"/><Relationship Id="rId16" Type="http://schemas.openxmlformats.org/officeDocument/2006/relationships/ctrlProp" Target="../ctrlProps/ctrlProp10.xml"/><Relationship Id="rId15" Type="http://schemas.openxmlformats.org/officeDocument/2006/relationships/ctrlProp" Target="../ctrlProps/ctrlProp9.xml"/><Relationship Id="rId14" Type="http://schemas.openxmlformats.org/officeDocument/2006/relationships/ctrlProp" Target="../ctrlProps/ctrlProp8.xml"/><Relationship Id="rId13" Type="http://schemas.openxmlformats.org/officeDocument/2006/relationships/ctrlProp" Target="../ctrlProps/ctrlProp7.xml"/><Relationship Id="rId12" Type="http://schemas.openxmlformats.org/officeDocument/2006/relationships/ctrlProp" Target="../ctrlProps/ctrlProp6.xml"/><Relationship Id="rId11" Type="http://schemas.openxmlformats.org/officeDocument/2006/relationships/ctrlProp" Target="../ctrlProps/ctrlProp5.xml"/><Relationship Id="rId10" Type="http://schemas.openxmlformats.org/officeDocument/2006/relationships/image" Target="../media/image4.wmf"/><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L193"/>
  <sheetViews>
    <sheetView topLeftCell="B16" workbookViewId="0">
      <selection activeCell="K41" sqref="K41"/>
    </sheetView>
  </sheetViews>
  <sheetFormatPr defaultColWidth="9" defaultRowHeight="14.4"/>
  <cols>
    <col min="1" max="1" width="6" customWidth="1"/>
    <col min="2" max="2" width="13.8796296296296" customWidth="1"/>
    <col min="4" max="4" width="53.25" customWidth="1"/>
    <col min="5" max="8" width="15.25" customWidth="1"/>
    <col min="9" max="9" width="8.75" customWidth="1"/>
    <col min="10" max="10" width="11.6296296296296" customWidth="1"/>
  </cols>
  <sheetData>
    <row r="1" ht="32" customHeight="1" spans="1:10">
      <c r="A1" s="17" t="s">
        <v>0</v>
      </c>
      <c r="B1" s="17"/>
      <c r="C1" s="17"/>
      <c r="D1" s="17"/>
      <c r="E1" s="17"/>
      <c r="F1" s="17"/>
      <c r="G1" s="17"/>
      <c r="H1" s="17"/>
      <c r="I1" s="17"/>
      <c r="J1" s="17"/>
    </row>
    <row r="2" ht="31.2" spans="1:12">
      <c r="A2" s="18" t="s">
        <v>1</v>
      </c>
      <c r="B2" s="18" t="s">
        <v>2</v>
      </c>
      <c r="C2" s="18" t="s">
        <v>3</v>
      </c>
      <c r="D2" s="18" t="s">
        <v>4</v>
      </c>
      <c r="E2" s="18" t="s">
        <v>5</v>
      </c>
      <c r="F2" s="18" t="s">
        <v>6</v>
      </c>
      <c r="G2" s="18" t="s">
        <v>7</v>
      </c>
      <c r="H2" s="18" t="s">
        <v>8</v>
      </c>
      <c r="I2" s="18" t="s">
        <v>9</v>
      </c>
      <c r="J2" s="18" t="s">
        <v>10</v>
      </c>
      <c r="K2" t="s">
        <v>11</v>
      </c>
      <c r="L2" t="s">
        <v>12</v>
      </c>
    </row>
    <row r="3" ht="36" spans="1:12">
      <c r="A3" s="19">
        <v>1</v>
      </c>
      <c r="B3" s="19" t="s">
        <v>13</v>
      </c>
      <c r="C3" s="19" t="s">
        <v>14</v>
      </c>
      <c r="D3" s="20" t="s">
        <v>15</v>
      </c>
      <c r="E3" s="21" t="s">
        <v>16</v>
      </c>
      <c r="F3" s="21" t="s">
        <v>17</v>
      </c>
      <c r="G3" s="21" t="s">
        <v>18</v>
      </c>
      <c r="H3" s="21" t="s">
        <v>19</v>
      </c>
      <c r="I3" s="21" t="s">
        <v>8</v>
      </c>
      <c r="J3" s="21">
        <v>3.1</v>
      </c>
      <c r="L3">
        <v>1</v>
      </c>
    </row>
    <row r="4" ht="36" spans="1:12">
      <c r="A4" s="19">
        <v>2</v>
      </c>
      <c r="B4" s="19" t="s">
        <v>13</v>
      </c>
      <c r="C4" s="19" t="s">
        <v>14</v>
      </c>
      <c r="D4" s="20" t="s">
        <v>20</v>
      </c>
      <c r="E4" s="21" t="s">
        <v>19</v>
      </c>
      <c r="F4" s="21" t="s">
        <v>21</v>
      </c>
      <c r="G4" s="21" t="s">
        <v>22</v>
      </c>
      <c r="H4" s="21" t="s">
        <v>23</v>
      </c>
      <c r="I4" s="21" t="s">
        <v>5</v>
      </c>
      <c r="J4" s="21">
        <v>3.2</v>
      </c>
      <c r="L4">
        <v>1</v>
      </c>
    </row>
    <row r="5" ht="36" spans="1:12">
      <c r="A5" s="19">
        <v>3</v>
      </c>
      <c r="B5" s="19" t="s">
        <v>13</v>
      </c>
      <c r="C5" s="19" t="s">
        <v>14</v>
      </c>
      <c r="D5" s="20" t="s">
        <v>24</v>
      </c>
      <c r="E5" s="21" t="s">
        <v>25</v>
      </c>
      <c r="F5" s="21" t="s">
        <v>26</v>
      </c>
      <c r="G5" s="21" t="s">
        <v>27</v>
      </c>
      <c r="H5" s="21" t="s">
        <v>28</v>
      </c>
      <c r="I5" s="21" t="s">
        <v>8</v>
      </c>
      <c r="J5" s="21">
        <v>3.22</v>
      </c>
      <c r="K5" s="22">
        <v>1</v>
      </c>
      <c r="L5">
        <v>2</v>
      </c>
    </row>
    <row r="6" ht="36" spans="1:12">
      <c r="A6" s="19">
        <v>4</v>
      </c>
      <c r="B6" s="19" t="s">
        <v>13</v>
      </c>
      <c r="C6" s="19" t="s">
        <v>14</v>
      </c>
      <c r="D6" s="20" t="s">
        <v>29</v>
      </c>
      <c r="E6" s="21" t="s">
        <v>30</v>
      </c>
      <c r="F6" s="21" t="s">
        <v>31</v>
      </c>
      <c r="G6" s="21" t="s">
        <v>32</v>
      </c>
      <c r="H6" s="21" t="s">
        <v>33</v>
      </c>
      <c r="I6" s="21" t="s">
        <v>5</v>
      </c>
      <c r="J6" s="21">
        <v>3.25</v>
      </c>
      <c r="L6">
        <v>1</v>
      </c>
    </row>
    <row r="7" ht="36" spans="1:12">
      <c r="A7" s="19">
        <v>5</v>
      </c>
      <c r="B7" s="19" t="s">
        <v>13</v>
      </c>
      <c r="C7" s="19" t="s">
        <v>14</v>
      </c>
      <c r="D7" s="20" t="s">
        <v>34</v>
      </c>
      <c r="E7" s="21" t="s">
        <v>35</v>
      </c>
      <c r="F7" s="21" t="s">
        <v>36</v>
      </c>
      <c r="G7" s="21" t="s">
        <v>37</v>
      </c>
      <c r="H7" s="21" t="s">
        <v>38</v>
      </c>
      <c r="I7" s="21" t="s">
        <v>6</v>
      </c>
      <c r="J7" s="21">
        <v>3.27</v>
      </c>
      <c r="L7">
        <v>1</v>
      </c>
    </row>
    <row r="8" ht="36" spans="1:12">
      <c r="A8" s="19">
        <v>6</v>
      </c>
      <c r="B8" s="19" t="s">
        <v>13</v>
      </c>
      <c r="C8" s="19" t="s">
        <v>14</v>
      </c>
      <c r="D8" s="20" t="s">
        <v>39</v>
      </c>
      <c r="E8" s="21" t="s">
        <v>40</v>
      </c>
      <c r="F8" s="21" t="s">
        <v>41</v>
      </c>
      <c r="G8" s="21" t="s">
        <v>42</v>
      </c>
      <c r="H8" s="21" t="s">
        <v>43</v>
      </c>
      <c r="I8" s="21" t="s">
        <v>7</v>
      </c>
      <c r="J8" s="21">
        <v>4.2</v>
      </c>
      <c r="L8">
        <v>1</v>
      </c>
    </row>
    <row r="9" ht="36" spans="1:12">
      <c r="A9" s="19">
        <v>7</v>
      </c>
      <c r="B9" s="19" t="s">
        <v>13</v>
      </c>
      <c r="C9" s="19" t="s">
        <v>14</v>
      </c>
      <c r="D9" s="20" t="s">
        <v>44</v>
      </c>
      <c r="E9" s="21" t="s">
        <v>45</v>
      </c>
      <c r="F9" s="21" t="s">
        <v>46</v>
      </c>
      <c r="G9" s="21" t="s">
        <v>47</v>
      </c>
      <c r="H9" s="21" t="s">
        <v>48</v>
      </c>
      <c r="I9" s="21" t="s">
        <v>8</v>
      </c>
      <c r="J9" s="21" t="s">
        <v>49</v>
      </c>
      <c r="K9" s="22">
        <v>1</v>
      </c>
      <c r="L9">
        <v>1</v>
      </c>
    </row>
    <row r="10" ht="36" spans="1:12">
      <c r="A10" s="19">
        <v>8</v>
      </c>
      <c r="B10" s="19" t="s">
        <v>13</v>
      </c>
      <c r="C10" s="19" t="s">
        <v>14</v>
      </c>
      <c r="D10" s="20" t="s">
        <v>50</v>
      </c>
      <c r="E10" s="21" t="s">
        <v>40</v>
      </c>
      <c r="F10" s="21" t="s">
        <v>51</v>
      </c>
      <c r="G10" s="21" t="s">
        <v>52</v>
      </c>
      <c r="H10" s="21" t="s">
        <v>53</v>
      </c>
      <c r="I10" s="21" t="s">
        <v>8</v>
      </c>
      <c r="J10" s="21" t="s">
        <v>54</v>
      </c>
      <c r="L10">
        <v>1</v>
      </c>
    </row>
    <row r="11" ht="36" spans="1:12">
      <c r="A11" s="19">
        <v>9</v>
      </c>
      <c r="B11" s="19" t="s">
        <v>13</v>
      </c>
      <c r="C11" s="19" t="s">
        <v>14</v>
      </c>
      <c r="D11" s="20" t="s">
        <v>55</v>
      </c>
      <c r="E11" s="21" t="s">
        <v>36</v>
      </c>
      <c r="F11" s="21" t="s">
        <v>37</v>
      </c>
      <c r="G11" s="21" t="s">
        <v>38</v>
      </c>
      <c r="H11" s="21" t="s">
        <v>56</v>
      </c>
      <c r="I11" s="21" t="s">
        <v>6</v>
      </c>
      <c r="J11" s="21" t="s">
        <v>57</v>
      </c>
      <c r="L11">
        <v>1</v>
      </c>
    </row>
    <row r="12" ht="36" spans="1:12">
      <c r="A12" s="19">
        <v>10</v>
      </c>
      <c r="B12" s="19" t="s">
        <v>13</v>
      </c>
      <c r="C12" s="19" t="s">
        <v>14</v>
      </c>
      <c r="D12" s="20" t="s">
        <v>58</v>
      </c>
      <c r="E12" s="21" t="s">
        <v>59</v>
      </c>
      <c r="F12" s="21" t="s">
        <v>60</v>
      </c>
      <c r="G12" s="21" t="s">
        <v>61</v>
      </c>
      <c r="H12" s="21" t="s">
        <v>62</v>
      </c>
      <c r="I12" s="21" t="s">
        <v>7</v>
      </c>
      <c r="J12" s="21" t="s">
        <v>63</v>
      </c>
      <c r="L12">
        <v>1</v>
      </c>
    </row>
    <row r="13" ht="36" spans="1:12">
      <c r="A13" s="19">
        <v>11</v>
      </c>
      <c r="B13" s="19" t="s">
        <v>13</v>
      </c>
      <c r="C13" s="19" t="s">
        <v>14</v>
      </c>
      <c r="D13" s="20" t="s">
        <v>64</v>
      </c>
      <c r="E13" s="21" t="s">
        <v>65</v>
      </c>
      <c r="F13" s="21" t="s">
        <v>66</v>
      </c>
      <c r="G13" s="21" t="s">
        <v>67</v>
      </c>
      <c r="H13" s="21" t="s">
        <v>68</v>
      </c>
      <c r="I13" s="21" t="s">
        <v>5</v>
      </c>
      <c r="J13" s="21" t="s">
        <v>69</v>
      </c>
      <c r="L13">
        <v>1</v>
      </c>
    </row>
    <row r="14" ht="36" spans="1:12">
      <c r="A14" s="19">
        <v>12</v>
      </c>
      <c r="B14" s="19" t="s">
        <v>13</v>
      </c>
      <c r="C14" s="19" t="s">
        <v>14</v>
      </c>
      <c r="D14" s="20" t="s">
        <v>70</v>
      </c>
      <c r="E14" s="21" t="s">
        <v>71</v>
      </c>
      <c r="F14" s="21" t="s">
        <v>72</v>
      </c>
      <c r="G14" s="21" t="s">
        <v>73</v>
      </c>
      <c r="H14" s="21" t="s">
        <v>74</v>
      </c>
      <c r="I14" s="21" t="s">
        <v>7</v>
      </c>
      <c r="J14" s="21" t="s">
        <v>75</v>
      </c>
      <c r="L14">
        <v>1</v>
      </c>
    </row>
    <row r="15" ht="36" spans="1:12">
      <c r="A15" s="19">
        <v>13</v>
      </c>
      <c r="B15" s="19" t="s">
        <v>13</v>
      </c>
      <c r="C15" s="19" t="s">
        <v>14</v>
      </c>
      <c r="D15" s="20" t="s">
        <v>76</v>
      </c>
      <c r="E15" s="21" t="s">
        <v>77</v>
      </c>
      <c r="F15" s="21" t="s">
        <v>78</v>
      </c>
      <c r="G15" s="21" t="s">
        <v>79</v>
      </c>
      <c r="H15" s="21" t="s">
        <v>80</v>
      </c>
      <c r="I15" s="21" t="s">
        <v>8</v>
      </c>
      <c r="J15" s="21" t="s">
        <v>81</v>
      </c>
      <c r="L15">
        <v>1</v>
      </c>
    </row>
    <row r="16" ht="36" spans="1:12">
      <c r="A16" s="19">
        <v>14</v>
      </c>
      <c r="B16" s="19" t="s">
        <v>13</v>
      </c>
      <c r="C16" s="19" t="s">
        <v>14</v>
      </c>
      <c r="D16" s="20" t="s">
        <v>82</v>
      </c>
      <c r="E16" s="21" t="s">
        <v>83</v>
      </c>
      <c r="F16" s="21" t="s">
        <v>84</v>
      </c>
      <c r="G16" s="21" t="s">
        <v>85</v>
      </c>
      <c r="H16" s="21" t="s">
        <v>86</v>
      </c>
      <c r="I16" s="21" t="s">
        <v>7</v>
      </c>
      <c r="J16" s="21" t="s">
        <v>87</v>
      </c>
      <c r="K16" s="22">
        <v>1</v>
      </c>
      <c r="L16">
        <v>2</v>
      </c>
    </row>
    <row r="17" ht="36" spans="1:12">
      <c r="A17" s="19">
        <v>15</v>
      </c>
      <c r="B17" s="19" t="s">
        <v>13</v>
      </c>
      <c r="C17" s="19" t="s">
        <v>14</v>
      </c>
      <c r="D17" s="20" t="s">
        <v>88</v>
      </c>
      <c r="E17" s="21" t="s">
        <v>83</v>
      </c>
      <c r="F17" s="21" t="s">
        <v>89</v>
      </c>
      <c r="G17" s="21" t="s">
        <v>86</v>
      </c>
      <c r="H17" s="21" t="s">
        <v>60</v>
      </c>
      <c r="I17" s="21" t="s">
        <v>7</v>
      </c>
      <c r="J17" s="21" t="s">
        <v>90</v>
      </c>
      <c r="L17">
        <v>1</v>
      </c>
    </row>
    <row r="18" ht="36" spans="1:12">
      <c r="A18" s="19">
        <v>16</v>
      </c>
      <c r="B18" s="19" t="s">
        <v>13</v>
      </c>
      <c r="C18" s="19" t="s">
        <v>14</v>
      </c>
      <c r="D18" s="20" t="s">
        <v>91</v>
      </c>
      <c r="E18" s="21" t="s">
        <v>92</v>
      </c>
      <c r="F18" s="21" t="s">
        <v>83</v>
      </c>
      <c r="G18" s="21" t="s">
        <v>59</v>
      </c>
      <c r="H18" s="21" t="s">
        <v>60</v>
      </c>
      <c r="I18" s="21" t="s">
        <v>8</v>
      </c>
      <c r="J18" s="21" t="s">
        <v>93</v>
      </c>
      <c r="L18">
        <v>1</v>
      </c>
    </row>
    <row r="19" ht="36" spans="1:12">
      <c r="A19" s="19">
        <v>17</v>
      </c>
      <c r="B19" s="19" t="s">
        <v>13</v>
      </c>
      <c r="C19" s="19" t="s">
        <v>14</v>
      </c>
      <c r="D19" s="20" t="s">
        <v>94</v>
      </c>
      <c r="E19" s="21" t="s">
        <v>92</v>
      </c>
      <c r="F19" s="21" t="s">
        <v>83</v>
      </c>
      <c r="G19" s="21" t="s">
        <v>59</v>
      </c>
      <c r="H19" s="21" t="s">
        <v>60</v>
      </c>
      <c r="I19" s="21" t="s">
        <v>8</v>
      </c>
      <c r="J19" s="21" t="s">
        <v>93</v>
      </c>
      <c r="L19">
        <v>1</v>
      </c>
    </row>
    <row r="20" ht="36" spans="1:12">
      <c r="A20" s="19">
        <v>18</v>
      </c>
      <c r="B20" s="19" t="s">
        <v>13</v>
      </c>
      <c r="C20" s="19" t="s">
        <v>14</v>
      </c>
      <c r="D20" s="20" t="s">
        <v>95</v>
      </c>
      <c r="E20" s="21" t="s">
        <v>92</v>
      </c>
      <c r="F20" s="21" t="s">
        <v>86</v>
      </c>
      <c r="G20" s="21" t="s">
        <v>60</v>
      </c>
      <c r="H20" s="21" t="s">
        <v>89</v>
      </c>
      <c r="I20" s="21" t="s">
        <v>8</v>
      </c>
      <c r="J20" s="21" t="s">
        <v>96</v>
      </c>
      <c r="L20">
        <v>1</v>
      </c>
    </row>
    <row r="21" ht="36" spans="1:12">
      <c r="A21" s="19">
        <v>19</v>
      </c>
      <c r="B21" s="19" t="s">
        <v>13</v>
      </c>
      <c r="C21" s="19" t="s">
        <v>14</v>
      </c>
      <c r="D21" s="20" t="s">
        <v>97</v>
      </c>
      <c r="E21" s="21" t="s">
        <v>43</v>
      </c>
      <c r="F21" s="21" t="s">
        <v>98</v>
      </c>
      <c r="G21" s="21" t="s">
        <v>99</v>
      </c>
      <c r="H21" s="21" t="s">
        <v>100</v>
      </c>
      <c r="I21" s="21" t="s">
        <v>7</v>
      </c>
      <c r="J21" s="21" t="s">
        <v>101</v>
      </c>
      <c r="L21">
        <v>1</v>
      </c>
    </row>
    <row r="22" ht="36" spans="1:12">
      <c r="A22" s="19">
        <v>20</v>
      </c>
      <c r="B22" s="19" t="s">
        <v>13</v>
      </c>
      <c r="C22" s="19" t="s">
        <v>14</v>
      </c>
      <c r="D22" s="20" t="s">
        <v>102</v>
      </c>
      <c r="E22" s="21" t="s">
        <v>92</v>
      </c>
      <c r="F22" s="21" t="s">
        <v>83</v>
      </c>
      <c r="G22" s="21" t="s">
        <v>59</v>
      </c>
      <c r="H22" s="21" t="s">
        <v>60</v>
      </c>
      <c r="I22" s="21" t="s">
        <v>7</v>
      </c>
      <c r="J22" s="21" t="s">
        <v>103</v>
      </c>
      <c r="L22">
        <v>1</v>
      </c>
    </row>
    <row r="23" ht="36" spans="1:12">
      <c r="A23" s="19">
        <v>21</v>
      </c>
      <c r="B23" s="19" t="s">
        <v>13</v>
      </c>
      <c r="C23" s="19" t="s">
        <v>14</v>
      </c>
      <c r="D23" s="20" t="s">
        <v>104</v>
      </c>
      <c r="E23" s="21" t="s">
        <v>86</v>
      </c>
      <c r="F23" s="21" t="s">
        <v>60</v>
      </c>
      <c r="G23" s="21" t="s">
        <v>83</v>
      </c>
      <c r="H23" s="21" t="s">
        <v>59</v>
      </c>
      <c r="I23" s="21" t="s">
        <v>8</v>
      </c>
      <c r="J23" s="21" t="s">
        <v>105</v>
      </c>
      <c r="L23">
        <v>1</v>
      </c>
    </row>
    <row r="24" ht="36" spans="1:12">
      <c r="A24" s="19">
        <v>22</v>
      </c>
      <c r="B24" s="19" t="s">
        <v>13</v>
      </c>
      <c r="C24" s="19" t="s">
        <v>14</v>
      </c>
      <c r="D24" s="20" t="s">
        <v>106</v>
      </c>
      <c r="E24" s="21" t="s">
        <v>107</v>
      </c>
      <c r="F24" s="21" t="s">
        <v>108</v>
      </c>
      <c r="G24" s="21" t="s">
        <v>109</v>
      </c>
      <c r="H24" s="21" t="s">
        <v>110</v>
      </c>
      <c r="I24" s="21" t="s">
        <v>6</v>
      </c>
      <c r="J24" s="21" t="s">
        <v>111</v>
      </c>
      <c r="L24">
        <v>1</v>
      </c>
    </row>
    <row r="25" ht="36" spans="1:12">
      <c r="A25" s="19">
        <v>23</v>
      </c>
      <c r="B25" s="19" t="s">
        <v>13</v>
      </c>
      <c r="C25" s="19" t="s">
        <v>14</v>
      </c>
      <c r="D25" s="20" t="s">
        <v>112</v>
      </c>
      <c r="E25" s="21" t="s">
        <v>113</v>
      </c>
      <c r="F25" s="21" t="s">
        <v>114</v>
      </c>
      <c r="G25" s="21" t="s">
        <v>115</v>
      </c>
      <c r="H25" s="21" t="s">
        <v>116</v>
      </c>
      <c r="I25" s="21" t="s">
        <v>8</v>
      </c>
      <c r="J25" s="21" t="s">
        <v>117</v>
      </c>
      <c r="K25" s="22">
        <v>1</v>
      </c>
      <c r="L25">
        <v>2</v>
      </c>
    </row>
    <row r="26" ht="36" spans="1:12">
      <c r="A26" s="19">
        <v>24</v>
      </c>
      <c r="B26" s="19" t="s">
        <v>13</v>
      </c>
      <c r="C26" s="19" t="s">
        <v>14</v>
      </c>
      <c r="D26" s="20" t="s">
        <v>118</v>
      </c>
      <c r="E26" s="21" t="s">
        <v>119</v>
      </c>
      <c r="F26" s="21" t="s">
        <v>120</v>
      </c>
      <c r="G26" s="21" t="s">
        <v>121</v>
      </c>
      <c r="H26" s="21" t="s">
        <v>122</v>
      </c>
      <c r="I26" s="21" t="s">
        <v>5</v>
      </c>
      <c r="J26" s="21" t="s">
        <v>123</v>
      </c>
      <c r="L26">
        <v>1</v>
      </c>
    </row>
    <row r="27" ht="36" spans="1:12">
      <c r="A27" s="19">
        <v>25</v>
      </c>
      <c r="B27" s="19" t="s">
        <v>13</v>
      </c>
      <c r="C27" s="19" t="s">
        <v>14</v>
      </c>
      <c r="D27" s="20" t="s">
        <v>124</v>
      </c>
      <c r="E27" s="21" t="s">
        <v>119</v>
      </c>
      <c r="F27" s="21" t="s">
        <v>120</v>
      </c>
      <c r="G27" s="21" t="s">
        <v>121</v>
      </c>
      <c r="H27" s="21" t="s">
        <v>122</v>
      </c>
      <c r="I27" s="21" t="s">
        <v>6</v>
      </c>
      <c r="J27" s="21" t="s">
        <v>125</v>
      </c>
      <c r="K27" s="22">
        <v>1</v>
      </c>
      <c r="L27">
        <v>2</v>
      </c>
    </row>
    <row r="28" ht="36" spans="1:12">
      <c r="A28" s="19">
        <v>26</v>
      </c>
      <c r="B28" s="19" t="s">
        <v>13</v>
      </c>
      <c r="C28" s="19" t="s">
        <v>14</v>
      </c>
      <c r="D28" s="20" t="s">
        <v>126</v>
      </c>
      <c r="E28" s="21" t="s">
        <v>122</v>
      </c>
      <c r="F28" s="21" t="s">
        <v>119</v>
      </c>
      <c r="G28" s="21" t="s">
        <v>120</v>
      </c>
      <c r="H28" s="21" t="s">
        <v>121</v>
      </c>
      <c r="I28" s="21" t="s">
        <v>8</v>
      </c>
      <c r="J28" s="21" t="s">
        <v>127</v>
      </c>
      <c r="L28">
        <v>1</v>
      </c>
    </row>
    <row r="29" ht="48" spans="1:12">
      <c r="A29" s="19">
        <v>27</v>
      </c>
      <c r="B29" s="19" t="s">
        <v>13</v>
      </c>
      <c r="C29" s="19" t="s">
        <v>14</v>
      </c>
      <c r="D29" s="20" t="s">
        <v>128</v>
      </c>
      <c r="E29" s="21" t="s">
        <v>129</v>
      </c>
      <c r="F29" s="21" t="s">
        <v>130</v>
      </c>
      <c r="G29" s="21" t="s">
        <v>131</v>
      </c>
      <c r="H29" s="21" t="s">
        <v>132</v>
      </c>
      <c r="I29" s="21" t="s">
        <v>8</v>
      </c>
      <c r="J29" s="21" t="s">
        <v>133</v>
      </c>
      <c r="K29" s="22">
        <v>1</v>
      </c>
      <c r="L29">
        <v>2</v>
      </c>
    </row>
    <row r="30" ht="48" spans="1:12">
      <c r="A30" s="19">
        <v>28</v>
      </c>
      <c r="B30" s="19" t="s">
        <v>13</v>
      </c>
      <c r="C30" s="19" t="s">
        <v>14</v>
      </c>
      <c r="D30" s="20" t="s">
        <v>134</v>
      </c>
      <c r="E30" s="21" t="s">
        <v>86</v>
      </c>
      <c r="F30" s="21" t="s">
        <v>60</v>
      </c>
      <c r="G30" s="21" t="s">
        <v>59</v>
      </c>
      <c r="H30" s="21" t="s">
        <v>83</v>
      </c>
      <c r="I30" s="21" t="s">
        <v>8</v>
      </c>
      <c r="J30" s="21" t="s">
        <v>135</v>
      </c>
      <c r="L30">
        <v>1</v>
      </c>
    </row>
    <row r="31" ht="36" spans="1:12">
      <c r="A31" s="19">
        <v>29</v>
      </c>
      <c r="B31" s="19" t="s">
        <v>13</v>
      </c>
      <c r="C31" s="19" t="s">
        <v>14</v>
      </c>
      <c r="D31" s="20" t="s">
        <v>136</v>
      </c>
      <c r="E31" s="21" t="s">
        <v>86</v>
      </c>
      <c r="F31" s="21" t="s">
        <v>60</v>
      </c>
      <c r="G31" s="21" t="s">
        <v>59</v>
      </c>
      <c r="H31" s="21" t="s">
        <v>83</v>
      </c>
      <c r="I31" s="21" t="s">
        <v>5</v>
      </c>
      <c r="J31" s="21" t="s">
        <v>137</v>
      </c>
      <c r="L31">
        <v>1</v>
      </c>
    </row>
    <row r="32" ht="36" spans="1:12">
      <c r="A32" s="19">
        <v>30</v>
      </c>
      <c r="B32" s="19" t="s">
        <v>13</v>
      </c>
      <c r="C32" s="19" t="s">
        <v>14</v>
      </c>
      <c r="D32" s="20" t="s">
        <v>138</v>
      </c>
      <c r="E32" s="21" t="s">
        <v>86</v>
      </c>
      <c r="F32" s="21" t="s">
        <v>60</v>
      </c>
      <c r="G32" s="21" t="s">
        <v>59</v>
      </c>
      <c r="H32" s="21" t="s">
        <v>83</v>
      </c>
      <c r="I32" s="21" t="s">
        <v>5</v>
      </c>
      <c r="J32" s="21" t="s">
        <v>139</v>
      </c>
      <c r="K32" s="22">
        <v>1</v>
      </c>
      <c r="L32">
        <v>2</v>
      </c>
    </row>
    <row r="33" ht="48" spans="1:12">
      <c r="A33" s="19">
        <v>31</v>
      </c>
      <c r="B33" s="19" t="s">
        <v>13</v>
      </c>
      <c r="C33" s="19" t="s">
        <v>14</v>
      </c>
      <c r="D33" s="20" t="s">
        <v>140</v>
      </c>
      <c r="E33" s="21" t="s">
        <v>86</v>
      </c>
      <c r="F33" s="21" t="s">
        <v>60</v>
      </c>
      <c r="G33" s="21" t="s">
        <v>59</v>
      </c>
      <c r="H33" s="21" t="s">
        <v>83</v>
      </c>
      <c r="I33" s="21" t="s">
        <v>6</v>
      </c>
      <c r="J33" s="21" t="s">
        <v>141</v>
      </c>
      <c r="L33">
        <v>1</v>
      </c>
    </row>
    <row r="34" ht="36" spans="1:12">
      <c r="A34" s="19">
        <v>32</v>
      </c>
      <c r="B34" s="19" t="s">
        <v>13</v>
      </c>
      <c r="C34" s="19" t="s">
        <v>14</v>
      </c>
      <c r="D34" s="20" t="s">
        <v>142</v>
      </c>
      <c r="E34" s="21" t="s">
        <v>83</v>
      </c>
      <c r="F34" s="21" t="s">
        <v>143</v>
      </c>
      <c r="G34" s="21" t="s">
        <v>144</v>
      </c>
      <c r="H34" s="21" t="s">
        <v>143</v>
      </c>
      <c r="I34" s="21" t="s">
        <v>5</v>
      </c>
      <c r="J34" s="21" t="s">
        <v>145</v>
      </c>
      <c r="L34">
        <v>1</v>
      </c>
    </row>
    <row r="35" ht="36" spans="1:12">
      <c r="A35" s="19">
        <v>33</v>
      </c>
      <c r="B35" s="19" t="s">
        <v>13</v>
      </c>
      <c r="C35" s="19" t="s">
        <v>14</v>
      </c>
      <c r="D35" s="20" t="s">
        <v>146</v>
      </c>
      <c r="E35" s="21">
        <v>3</v>
      </c>
      <c r="F35" s="21">
        <v>5</v>
      </c>
      <c r="G35" s="21">
        <v>6</v>
      </c>
      <c r="H35" s="21">
        <v>8</v>
      </c>
      <c r="I35" s="21" t="s">
        <v>7</v>
      </c>
      <c r="J35" s="21" t="s">
        <v>147</v>
      </c>
      <c r="K35" s="22">
        <v>1</v>
      </c>
      <c r="L35">
        <v>2</v>
      </c>
    </row>
    <row r="36" ht="36" spans="1:12">
      <c r="A36" s="19">
        <v>34</v>
      </c>
      <c r="B36" s="19" t="s">
        <v>13</v>
      </c>
      <c r="C36" s="19" t="s">
        <v>14</v>
      </c>
      <c r="D36" s="20" t="s">
        <v>148</v>
      </c>
      <c r="E36" s="21">
        <v>0.7</v>
      </c>
      <c r="F36" s="21">
        <v>1</v>
      </c>
      <c r="G36" s="21">
        <v>2</v>
      </c>
      <c r="H36" s="21">
        <v>3</v>
      </c>
      <c r="I36" s="21" t="s">
        <v>8</v>
      </c>
      <c r="J36" s="21" t="s">
        <v>149</v>
      </c>
      <c r="L36">
        <v>1</v>
      </c>
    </row>
    <row r="37" ht="36" spans="1:12">
      <c r="A37" s="19">
        <v>1</v>
      </c>
      <c r="B37" s="19" t="s">
        <v>13</v>
      </c>
      <c r="C37" s="19" t="s">
        <v>150</v>
      </c>
      <c r="D37" s="20" t="s">
        <v>151</v>
      </c>
      <c r="E37" s="21" t="s">
        <v>19</v>
      </c>
      <c r="F37" s="21" t="s">
        <v>152</v>
      </c>
      <c r="G37" s="21" t="s">
        <v>22</v>
      </c>
      <c r="H37" s="21" t="s">
        <v>23</v>
      </c>
      <c r="I37" s="21" t="s">
        <v>153</v>
      </c>
      <c r="J37" s="21" t="s">
        <v>154</v>
      </c>
      <c r="K37" s="22">
        <v>1</v>
      </c>
      <c r="L37">
        <v>1</v>
      </c>
    </row>
    <row r="38" ht="48" spans="1:12">
      <c r="A38" s="19">
        <v>2</v>
      </c>
      <c r="B38" s="19" t="s">
        <v>13</v>
      </c>
      <c r="C38" s="19" t="s">
        <v>150</v>
      </c>
      <c r="D38" s="20" t="s">
        <v>155</v>
      </c>
      <c r="E38" s="21" t="s">
        <v>156</v>
      </c>
      <c r="F38" s="21" t="s">
        <v>157</v>
      </c>
      <c r="G38" s="21" t="s">
        <v>158</v>
      </c>
      <c r="H38" s="21" t="s">
        <v>159</v>
      </c>
      <c r="I38" s="21" t="s">
        <v>160</v>
      </c>
      <c r="J38" s="21" t="s">
        <v>161</v>
      </c>
      <c r="L38">
        <v>1</v>
      </c>
    </row>
    <row r="39" ht="36" spans="1:12">
      <c r="A39" s="19">
        <v>3</v>
      </c>
      <c r="B39" s="19" t="s">
        <v>13</v>
      </c>
      <c r="C39" s="19" t="s">
        <v>150</v>
      </c>
      <c r="D39" s="20" t="s">
        <v>162</v>
      </c>
      <c r="E39" s="21" t="s">
        <v>163</v>
      </c>
      <c r="F39" s="21" t="s">
        <v>164</v>
      </c>
      <c r="G39" s="21" t="s">
        <v>165</v>
      </c>
      <c r="H39" s="21" t="s">
        <v>166</v>
      </c>
      <c r="I39" s="21" t="s">
        <v>160</v>
      </c>
      <c r="J39" s="21" t="s">
        <v>167</v>
      </c>
      <c r="L39">
        <v>1</v>
      </c>
    </row>
    <row r="40" ht="36" spans="1:12">
      <c r="A40" s="19">
        <v>4</v>
      </c>
      <c r="B40" s="19" t="s">
        <v>13</v>
      </c>
      <c r="C40" s="19" t="s">
        <v>150</v>
      </c>
      <c r="D40" s="20" t="s">
        <v>168</v>
      </c>
      <c r="E40" s="21" t="s">
        <v>163</v>
      </c>
      <c r="F40" s="21" t="s">
        <v>169</v>
      </c>
      <c r="G40" s="21" t="s">
        <v>170</v>
      </c>
      <c r="H40" s="21" t="s">
        <v>171</v>
      </c>
      <c r="I40" s="21" t="s">
        <v>172</v>
      </c>
      <c r="J40" s="21" t="s">
        <v>173</v>
      </c>
      <c r="L40">
        <v>1</v>
      </c>
    </row>
    <row r="41" ht="36" spans="1:12">
      <c r="A41" s="19">
        <v>5</v>
      </c>
      <c r="B41" s="19" t="s">
        <v>13</v>
      </c>
      <c r="C41" s="19" t="s">
        <v>150</v>
      </c>
      <c r="D41" s="20" t="s">
        <v>174</v>
      </c>
      <c r="E41" s="21" t="s">
        <v>175</v>
      </c>
      <c r="F41" s="21" t="s">
        <v>176</v>
      </c>
      <c r="G41" s="21" t="s">
        <v>177</v>
      </c>
      <c r="H41" s="21" t="s">
        <v>73</v>
      </c>
      <c r="I41" s="21" t="s">
        <v>178</v>
      </c>
      <c r="J41" s="21" t="s">
        <v>179</v>
      </c>
      <c r="K41" s="22"/>
      <c r="L41">
        <v>3</v>
      </c>
    </row>
    <row r="42" ht="36" spans="1:12">
      <c r="A42" s="19">
        <v>6</v>
      </c>
      <c r="B42" s="19" t="s">
        <v>13</v>
      </c>
      <c r="C42" s="19" t="s">
        <v>150</v>
      </c>
      <c r="D42" s="20" t="s">
        <v>180</v>
      </c>
      <c r="E42" s="21" t="s">
        <v>181</v>
      </c>
      <c r="F42" s="21" t="s">
        <v>182</v>
      </c>
      <c r="G42" s="21" t="s">
        <v>183</v>
      </c>
      <c r="H42" s="21" t="s">
        <v>184</v>
      </c>
      <c r="I42" s="21" t="s">
        <v>172</v>
      </c>
      <c r="J42" s="21" t="s">
        <v>185</v>
      </c>
      <c r="L42">
        <v>1</v>
      </c>
    </row>
    <row r="43" ht="48" spans="1:12">
      <c r="A43" s="19">
        <v>7</v>
      </c>
      <c r="B43" s="19" t="s">
        <v>13</v>
      </c>
      <c r="C43" s="19" t="s">
        <v>150</v>
      </c>
      <c r="D43" s="20" t="s">
        <v>186</v>
      </c>
      <c r="E43" s="21" t="s">
        <v>187</v>
      </c>
      <c r="F43" s="21" t="s">
        <v>188</v>
      </c>
      <c r="G43" s="21" t="s">
        <v>189</v>
      </c>
      <c r="H43" s="21" t="s">
        <v>190</v>
      </c>
      <c r="I43" s="21" t="s">
        <v>172</v>
      </c>
      <c r="J43" s="21" t="s">
        <v>191</v>
      </c>
      <c r="L43">
        <v>1</v>
      </c>
    </row>
    <row r="44" ht="84" spans="1:12">
      <c r="A44" s="19">
        <v>8</v>
      </c>
      <c r="B44" s="19" t="s">
        <v>13</v>
      </c>
      <c r="C44" s="19" t="s">
        <v>150</v>
      </c>
      <c r="D44" s="20" t="s">
        <v>192</v>
      </c>
      <c r="E44" s="21" t="s">
        <v>193</v>
      </c>
      <c r="F44" s="21" t="s">
        <v>194</v>
      </c>
      <c r="G44" s="21" t="s">
        <v>195</v>
      </c>
      <c r="H44" s="21" t="s">
        <v>196</v>
      </c>
      <c r="I44" s="21" t="s">
        <v>153</v>
      </c>
      <c r="J44" s="21" t="s">
        <v>197</v>
      </c>
      <c r="K44" s="22">
        <v>1</v>
      </c>
      <c r="L44">
        <v>2</v>
      </c>
    </row>
    <row r="45" ht="60" spans="1:12">
      <c r="A45" s="19">
        <v>9</v>
      </c>
      <c r="B45" s="19" t="s">
        <v>13</v>
      </c>
      <c r="C45" s="19" t="s">
        <v>150</v>
      </c>
      <c r="D45" s="20" t="s">
        <v>198</v>
      </c>
      <c r="E45" s="21" t="s">
        <v>199</v>
      </c>
      <c r="F45" s="21" t="s">
        <v>200</v>
      </c>
      <c r="G45" s="21" t="s">
        <v>201</v>
      </c>
      <c r="H45" s="21" t="s">
        <v>202</v>
      </c>
      <c r="I45" s="21" t="s">
        <v>203</v>
      </c>
      <c r="J45" s="21" t="s">
        <v>96</v>
      </c>
      <c r="L45">
        <v>1</v>
      </c>
    </row>
    <row r="46" ht="72" spans="1:12">
      <c r="A46" s="19">
        <v>10</v>
      </c>
      <c r="B46" s="19" t="s">
        <v>13</v>
      </c>
      <c r="C46" s="19" t="s">
        <v>150</v>
      </c>
      <c r="D46" s="20" t="s">
        <v>204</v>
      </c>
      <c r="E46" s="21" t="s">
        <v>205</v>
      </c>
      <c r="F46" s="21" t="s">
        <v>206</v>
      </c>
      <c r="G46" s="21" t="s">
        <v>207</v>
      </c>
      <c r="H46" s="21" t="s">
        <v>208</v>
      </c>
      <c r="I46" s="21" t="s">
        <v>160</v>
      </c>
      <c r="J46" s="21" t="s">
        <v>209</v>
      </c>
      <c r="K46" s="22">
        <v>1</v>
      </c>
      <c r="L46">
        <v>2</v>
      </c>
    </row>
    <row r="47" ht="60" spans="1:12">
      <c r="A47" s="19">
        <v>11</v>
      </c>
      <c r="B47" s="19" t="s">
        <v>13</v>
      </c>
      <c r="C47" s="19" t="s">
        <v>150</v>
      </c>
      <c r="D47" s="20" t="s">
        <v>210</v>
      </c>
      <c r="E47" s="21" t="s">
        <v>211</v>
      </c>
      <c r="F47" s="21" t="s">
        <v>212</v>
      </c>
      <c r="G47" s="21" t="s">
        <v>213</v>
      </c>
      <c r="H47" s="21" t="s">
        <v>214</v>
      </c>
      <c r="I47" s="21" t="s">
        <v>215</v>
      </c>
      <c r="J47" s="21" t="s">
        <v>216</v>
      </c>
      <c r="K47" s="22">
        <v>1</v>
      </c>
      <c r="L47">
        <v>2</v>
      </c>
    </row>
    <row r="48" ht="36" spans="1:12">
      <c r="A48" s="19">
        <v>12</v>
      </c>
      <c r="B48" s="19" t="s">
        <v>13</v>
      </c>
      <c r="C48" s="19" t="s">
        <v>150</v>
      </c>
      <c r="D48" s="20" t="s">
        <v>217</v>
      </c>
      <c r="E48" s="21" t="s">
        <v>218</v>
      </c>
      <c r="F48" s="21" t="s">
        <v>219</v>
      </c>
      <c r="G48" s="21" t="s">
        <v>220</v>
      </c>
      <c r="H48" s="21" t="s">
        <v>221</v>
      </c>
      <c r="I48" s="21" t="s">
        <v>172</v>
      </c>
      <c r="J48" s="21" t="s">
        <v>222</v>
      </c>
      <c r="L48">
        <v>1</v>
      </c>
    </row>
    <row r="49" ht="36" spans="1:12">
      <c r="A49" s="19">
        <v>13</v>
      </c>
      <c r="B49" s="19" t="s">
        <v>13</v>
      </c>
      <c r="C49" s="19" t="s">
        <v>150</v>
      </c>
      <c r="D49" s="20" t="s">
        <v>223</v>
      </c>
      <c r="E49" s="21" t="s">
        <v>224</v>
      </c>
      <c r="F49" s="21" t="s">
        <v>225</v>
      </c>
      <c r="G49" s="21" t="s">
        <v>226</v>
      </c>
      <c r="H49" s="21" t="s">
        <v>227</v>
      </c>
      <c r="I49" s="21" t="s">
        <v>153</v>
      </c>
      <c r="J49" s="21" t="s">
        <v>228</v>
      </c>
      <c r="L49">
        <v>1</v>
      </c>
    </row>
    <row r="50" ht="72" spans="1:12">
      <c r="A50" s="19">
        <v>14</v>
      </c>
      <c r="B50" s="19" t="s">
        <v>13</v>
      </c>
      <c r="C50" s="19" t="s">
        <v>150</v>
      </c>
      <c r="D50" s="20" t="s">
        <v>229</v>
      </c>
      <c r="E50" s="21" t="s">
        <v>230</v>
      </c>
      <c r="F50" s="21" t="s">
        <v>231</v>
      </c>
      <c r="G50" s="21" t="s">
        <v>32</v>
      </c>
      <c r="H50" s="21" t="s">
        <v>232</v>
      </c>
      <c r="I50" s="21" t="s">
        <v>233</v>
      </c>
      <c r="J50" s="21" t="s">
        <v>234</v>
      </c>
      <c r="K50" s="22">
        <v>1</v>
      </c>
      <c r="L50">
        <v>2</v>
      </c>
    </row>
    <row r="51" ht="72" spans="1:12">
      <c r="A51" s="19">
        <v>15</v>
      </c>
      <c r="B51" s="19" t="s">
        <v>13</v>
      </c>
      <c r="C51" s="19" t="s">
        <v>150</v>
      </c>
      <c r="D51" s="20" t="s">
        <v>235</v>
      </c>
      <c r="E51" s="21" t="s">
        <v>236</v>
      </c>
      <c r="F51" s="21" t="s">
        <v>237</v>
      </c>
      <c r="G51" s="21" t="s">
        <v>238</v>
      </c>
      <c r="H51" s="21" t="s">
        <v>239</v>
      </c>
      <c r="I51" s="21" t="s">
        <v>178</v>
      </c>
      <c r="J51" s="21" t="s">
        <v>240</v>
      </c>
      <c r="L51">
        <v>1</v>
      </c>
    </row>
    <row r="52" ht="96" spans="1:12">
      <c r="A52" s="19">
        <v>16</v>
      </c>
      <c r="B52" s="19" t="s">
        <v>13</v>
      </c>
      <c r="C52" s="19" t="s">
        <v>150</v>
      </c>
      <c r="D52" s="20" t="s">
        <v>241</v>
      </c>
      <c r="E52" s="21" t="s">
        <v>242</v>
      </c>
      <c r="F52" s="21" t="s">
        <v>243</v>
      </c>
      <c r="G52" s="21" t="s">
        <v>244</v>
      </c>
      <c r="H52" s="21" t="s">
        <v>245</v>
      </c>
      <c r="I52" s="21" t="s">
        <v>153</v>
      </c>
      <c r="J52" s="21" t="s">
        <v>246</v>
      </c>
      <c r="L52">
        <v>1</v>
      </c>
    </row>
    <row r="53" ht="72" spans="1:12">
      <c r="A53" s="19">
        <v>17</v>
      </c>
      <c r="B53" s="19" t="s">
        <v>13</v>
      </c>
      <c r="C53" s="19" t="s">
        <v>150</v>
      </c>
      <c r="D53" s="20" t="s">
        <v>247</v>
      </c>
      <c r="E53" s="21" t="s">
        <v>248</v>
      </c>
      <c r="F53" s="21" t="s">
        <v>249</v>
      </c>
      <c r="G53" s="21" t="s">
        <v>250</v>
      </c>
      <c r="H53" s="21" t="s">
        <v>251</v>
      </c>
      <c r="I53" s="21" t="s">
        <v>252</v>
      </c>
      <c r="J53" s="21" t="s">
        <v>253</v>
      </c>
      <c r="K53" s="23">
        <v>1</v>
      </c>
      <c r="L53">
        <v>2</v>
      </c>
    </row>
    <row r="54" ht="36" spans="1:12">
      <c r="A54" s="19">
        <v>1</v>
      </c>
      <c r="B54" s="19" t="s">
        <v>13</v>
      </c>
      <c r="C54" s="19" t="s">
        <v>254</v>
      </c>
      <c r="D54" s="20" t="s">
        <v>255</v>
      </c>
      <c r="E54" s="21" t="s">
        <v>256</v>
      </c>
      <c r="F54" s="21" t="s">
        <v>257</v>
      </c>
      <c r="G54" s="21"/>
      <c r="H54" s="21"/>
      <c r="I54" s="21" t="s">
        <v>5</v>
      </c>
      <c r="J54" s="21">
        <v>3.5</v>
      </c>
      <c r="L54">
        <v>1</v>
      </c>
    </row>
    <row r="55" ht="36" spans="1:12">
      <c r="A55" s="19">
        <v>2</v>
      </c>
      <c r="B55" s="19" t="s">
        <v>13</v>
      </c>
      <c r="C55" s="19" t="s">
        <v>254</v>
      </c>
      <c r="D55" s="20" t="s">
        <v>258</v>
      </c>
      <c r="E55" s="21" t="s">
        <v>256</v>
      </c>
      <c r="F55" s="21" t="s">
        <v>257</v>
      </c>
      <c r="G55" s="21"/>
      <c r="H55" s="21"/>
      <c r="I55" s="21" t="s">
        <v>5</v>
      </c>
      <c r="J55" s="21">
        <v>3.12</v>
      </c>
      <c r="L55">
        <v>1</v>
      </c>
    </row>
    <row r="56" ht="36" spans="1:12">
      <c r="A56" s="19">
        <v>3</v>
      </c>
      <c r="B56" s="19" t="s">
        <v>13</v>
      </c>
      <c r="C56" s="19" t="s">
        <v>254</v>
      </c>
      <c r="D56" s="20" t="s">
        <v>259</v>
      </c>
      <c r="E56" s="21" t="s">
        <v>256</v>
      </c>
      <c r="F56" s="21" t="s">
        <v>257</v>
      </c>
      <c r="G56" s="21"/>
      <c r="H56" s="21"/>
      <c r="I56" s="21" t="s">
        <v>5</v>
      </c>
      <c r="J56" s="21">
        <v>3.17</v>
      </c>
      <c r="K56" s="23">
        <v>1</v>
      </c>
      <c r="L56">
        <v>2</v>
      </c>
    </row>
    <row r="57" ht="36" spans="1:12">
      <c r="A57" s="19">
        <v>4</v>
      </c>
      <c r="B57" s="19" t="s">
        <v>13</v>
      </c>
      <c r="C57" s="19" t="s">
        <v>254</v>
      </c>
      <c r="D57" s="20" t="s">
        <v>260</v>
      </c>
      <c r="E57" s="21" t="s">
        <v>256</v>
      </c>
      <c r="F57" s="21" t="s">
        <v>257</v>
      </c>
      <c r="G57" s="21"/>
      <c r="H57" s="21"/>
      <c r="I57" s="21" t="s">
        <v>5</v>
      </c>
      <c r="J57" s="24" t="s">
        <v>261</v>
      </c>
      <c r="L57">
        <v>1</v>
      </c>
    </row>
    <row r="58" ht="36" spans="1:12">
      <c r="A58" s="19">
        <v>5</v>
      </c>
      <c r="B58" s="19" t="s">
        <v>13</v>
      </c>
      <c r="C58" s="19" t="s">
        <v>254</v>
      </c>
      <c r="D58" s="20" t="s">
        <v>262</v>
      </c>
      <c r="E58" s="21" t="s">
        <v>256</v>
      </c>
      <c r="F58" s="21" t="s">
        <v>257</v>
      </c>
      <c r="G58" s="21"/>
      <c r="H58" s="21"/>
      <c r="I58" s="21" t="s">
        <v>6</v>
      </c>
      <c r="J58" s="21" t="s">
        <v>263</v>
      </c>
      <c r="L58">
        <v>1</v>
      </c>
    </row>
    <row r="59" ht="36" spans="1:12">
      <c r="A59" s="19">
        <v>6</v>
      </c>
      <c r="B59" s="19" t="s">
        <v>13</v>
      </c>
      <c r="C59" s="19" t="s">
        <v>254</v>
      </c>
      <c r="D59" s="20" t="s">
        <v>264</v>
      </c>
      <c r="E59" s="21" t="s">
        <v>256</v>
      </c>
      <c r="F59" s="21" t="s">
        <v>257</v>
      </c>
      <c r="G59" s="21"/>
      <c r="H59" s="21"/>
      <c r="I59" s="21" t="s">
        <v>6</v>
      </c>
      <c r="J59" s="21" t="s">
        <v>197</v>
      </c>
      <c r="L59">
        <v>1</v>
      </c>
    </row>
    <row r="60" ht="36" spans="1:12">
      <c r="A60" s="19">
        <v>7</v>
      </c>
      <c r="B60" s="19" t="s">
        <v>13</v>
      </c>
      <c r="C60" s="19" t="s">
        <v>254</v>
      </c>
      <c r="D60" s="20" t="s">
        <v>265</v>
      </c>
      <c r="E60" s="21" t="s">
        <v>256</v>
      </c>
      <c r="F60" s="21" t="s">
        <v>257</v>
      </c>
      <c r="G60" s="21"/>
      <c r="H60" s="21"/>
      <c r="I60" s="21" t="s">
        <v>6</v>
      </c>
      <c r="J60" s="21" t="s">
        <v>90</v>
      </c>
      <c r="L60">
        <v>1</v>
      </c>
    </row>
    <row r="61" ht="36" spans="1:12">
      <c r="A61" s="19">
        <v>8</v>
      </c>
      <c r="B61" s="19" t="s">
        <v>13</v>
      </c>
      <c r="C61" s="19" t="s">
        <v>254</v>
      </c>
      <c r="D61" s="20" t="s">
        <v>266</v>
      </c>
      <c r="E61" s="21" t="s">
        <v>256</v>
      </c>
      <c r="F61" s="21" t="s">
        <v>257</v>
      </c>
      <c r="G61" s="21"/>
      <c r="H61" s="21"/>
      <c r="I61" s="21" t="s">
        <v>5</v>
      </c>
      <c r="J61" s="21" t="s">
        <v>267</v>
      </c>
      <c r="L61">
        <v>1</v>
      </c>
    </row>
    <row r="62" ht="36" spans="1:12">
      <c r="A62" s="19">
        <v>9</v>
      </c>
      <c r="B62" s="19" t="s">
        <v>13</v>
      </c>
      <c r="C62" s="19" t="s">
        <v>254</v>
      </c>
      <c r="D62" s="20" t="s">
        <v>268</v>
      </c>
      <c r="E62" s="21" t="s">
        <v>256</v>
      </c>
      <c r="F62" s="21" t="s">
        <v>257</v>
      </c>
      <c r="G62" s="21"/>
      <c r="H62" s="21"/>
      <c r="I62" s="21" t="s">
        <v>6</v>
      </c>
      <c r="J62" s="21" t="s">
        <v>269</v>
      </c>
      <c r="K62" s="23">
        <v>1</v>
      </c>
      <c r="L62">
        <v>2</v>
      </c>
    </row>
    <row r="63" ht="36" spans="1:12">
      <c r="A63" s="19">
        <v>10</v>
      </c>
      <c r="B63" s="19" t="s">
        <v>13</v>
      </c>
      <c r="C63" s="19" t="s">
        <v>254</v>
      </c>
      <c r="D63" s="20" t="s">
        <v>270</v>
      </c>
      <c r="E63" s="21" t="s">
        <v>256</v>
      </c>
      <c r="F63" s="21" t="s">
        <v>257</v>
      </c>
      <c r="G63" s="21"/>
      <c r="H63" s="21"/>
      <c r="I63" s="21" t="s">
        <v>6</v>
      </c>
      <c r="J63" s="21" t="s">
        <v>269</v>
      </c>
      <c r="L63">
        <v>1</v>
      </c>
    </row>
    <row r="64" ht="36" spans="1:12">
      <c r="A64" s="19">
        <v>11</v>
      </c>
      <c r="B64" s="19" t="s">
        <v>13</v>
      </c>
      <c r="C64" s="19" t="s">
        <v>254</v>
      </c>
      <c r="D64" s="20" t="s">
        <v>271</v>
      </c>
      <c r="E64" s="21" t="s">
        <v>256</v>
      </c>
      <c r="F64" s="21" t="s">
        <v>257</v>
      </c>
      <c r="G64" s="21"/>
      <c r="H64" s="21"/>
      <c r="I64" s="21" t="s">
        <v>6</v>
      </c>
      <c r="J64" s="21" t="s">
        <v>125</v>
      </c>
      <c r="K64" s="23">
        <v>1</v>
      </c>
      <c r="L64">
        <v>2</v>
      </c>
    </row>
    <row r="65" ht="36" spans="1:12">
      <c r="A65" s="19">
        <v>12</v>
      </c>
      <c r="B65" s="19" t="s">
        <v>13</v>
      </c>
      <c r="C65" s="19" t="s">
        <v>254</v>
      </c>
      <c r="D65" s="20" t="s">
        <v>272</v>
      </c>
      <c r="E65" s="21" t="s">
        <v>256</v>
      </c>
      <c r="F65" s="21" t="s">
        <v>257</v>
      </c>
      <c r="G65" s="21"/>
      <c r="H65" s="21"/>
      <c r="I65" s="21" t="s">
        <v>6</v>
      </c>
      <c r="J65" s="21" t="s">
        <v>273</v>
      </c>
      <c r="L65">
        <v>1</v>
      </c>
    </row>
    <row r="66" ht="36" spans="1:12">
      <c r="A66" s="19">
        <v>13</v>
      </c>
      <c r="B66" s="19" t="s">
        <v>13</v>
      </c>
      <c r="C66" s="19" t="s">
        <v>254</v>
      </c>
      <c r="D66" s="20" t="s">
        <v>274</v>
      </c>
      <c r="E66" s="21" t="s">
        <v>256</v>
      </c>
      <c r="F66" s="21" t="s">
        <v>257</v>
      </c>
      <c r="G66" s="21"/>
      <c r="H66" s="21"/>
      <c r="I66" s="21" t="s">
        <v>5</v>
      </c>
      <c r="J66" s="21" t="s">
        <v>275</v>
      </c>
      <c r="K66" s="23">
        <v>1</v>
      </c>
      <c r="L66">
        <v>2</v>
      </c>
    </row>
    <row r="67" ht="36" spans="1:12">
      <c r="A67" s="19">
        <v>14</v>
      </c>
      <c r="B67" s="19" t="s">
        <v>13</v>
      </c>
      <c r="C67" s="19" t="s">
        <v>254</v>
      </c>
      <c r="D67" s="20" t="s">
        <v>276</v>
      </c>
      <c r="E67" s="21" t="s">
        <v>256</v>
      </c>
      <c r="F67" s="21" t="s">
        <v>257</v>
      </c>
      <c r="G67" s="21"/>
      <c r="H67" s="21"/>
      <c r="I67" s="21" t="s">
        <v>6</v>
      </c>
      <c r="J67" s="21" t="s">
        <v>277</v>
      </c>
      <c r="K67" s="23">
        <v>1</v>
      </c>
      <c r="L67">
        <v>2</v>
      </c>
    </row>
    <row r="68" ht="36" spans="1:12">
      <c r="A68" s="19">
        <v>15</v>
      </c>
      <c r="B68" s="19" t="s">
        <v>13</v>
      </c>
      <c r="C68" s="19" t="s">
        <v>254</v>
      </c>
      <c r="D68" s="20" t="s">
        <v>278</v>
      </c>
      <c r="E68" s="21" t="s">
        <v>256</v>
      </c>
      <c r="F68" s="21" t="s">
        <v>257</v>
      </c>
      <c r="G68" s="21"/>
      <c r="H68" s="21"/>
      <c r="I68" s="21" t="s">
        <v>6</v>
      </c>
      <c r="J68" s="21" t="s">
        <v>279</v>
      </c>
      <c r="L68">
        <v>1</v>
      </c>
    </row>
    <row r="69" ht="36" spans="1:12">
      <c r="A69" s="19">
        <v>16</v>
      </c>
      <c r="B69" s="19" t="s">
        <v>13</v>
      </c>
      <c r="C69" s="19" t="s">
        <v>254</v>
      </c>
      <c r="D69" s="20" t="s">
        <v>280</v>
      </c>
      <c r="E69" s="21" t="s">
        <v>256</v>
      </c>
      <c r="F69" s="21" t="s">
        <v>257</v>
      </c>
      <c r="G69" s="21"/>
      <c r="H69" s="21"/>
      <c r="I69" s="21" t="s">
        <v>6</v>
      </c>
      <c r="J69" s="21" t="s">
        <v>281</v>
      </c>
      <c r="L69">
        <v>1</v>
      </c>
    </row>
    <row r="70" ht="36" spans="1:12">
      <c r="A70" s="19">
        <v>17</v>
      </c>
      <c r="B70" s="19" t="s">
        <v>13</v>
      </c>
      <c r="C70" s="19" t="s">
        <v>254</v>
      </c>
      <c r="D70" s="20" t="s">
        <v>282</v>
      </c>
      <c r="E70" s="21" t="s">
        <v>256</v>
      </c>
      <c r="F70" s="21" t="s">
        <v>257</v>
      </c>
      <c r="G70" s="21"/>
      <c r="H70" s="21"/>
      <c r="I70" s="21" t="s">
        <v>6</v>
      </c>
      <c r="J70" s="21" t="s">
        <v>283</v>
      </c>
      <c r="K70" s="23">
        <v>1</v>
      </c>
      <c r="L70">
        <v>2</v>
      </c>
    </row>
    <row r="71" ht="72" spans="1:12">
      <c r="A71" s="19">
        <v>18</v>
      </c>
      <c r="B71" s="19" t="s">
        <v>13</v>
      </c>
      <c r="C71" s="19" t="s">
        <v>254</v>
      </c>
      <c r="D71" s="20" t="s">
        <v>284</v>
      </c>
      <c r="E71" s="21" t="s">
        <v>256</v>
      </c>
      <c r="F71" s="21" t="s">
        <v>257</v>
      </c>
      <c r="G71" s="21"/>
      <c r="H71" s="21"/>
      <c r="I71" s="21" t="s">
        <v>5</v>
      </c>
      <c r="J71" s="21" t="s">
        <v>285</v>
      </c>
      <c r="L71">
        <v>1</v>
      </c>
    </row>
    <row r="72" ht="72" spans="1:12">
      <c r="A72" s="19">
        <v>19</v>
      </c>
      <c r="B72" s="19" t="s">
        <v>13</v>
      </c>
      <c r="C72" s="19" t="s">
        <v>254</v>
      </c>
      <c r="D72" s="20" t="s">
        <v>286</v>
      </c>
      <c r="E72" s="21" t="s">
        <v>256</v>
      </c>
      <c r="F72" s="21" t="s">
        <v>257</v>
      </c>
      <c r="G72" s="21"/>
      <c r="H72" s="21"/>
      <c r="I72" s="21" t="s">
        <v>6</v>
      </c>
      <c r="J72" s="21" t="s">
        <v>287</v>
      </c>
      <c r="L72">
        <v>1</v>
      </c>
    </row>
    <row r="73" ht="24" spans="1:12">
      <c r="A73" s="25">
        <v>1</v>
      </c>
      <c r="B73" s="25" t="s">
        <v>288</v>
      </c>
      <c r="C73" s="25" t="s">
        <v>14</v>
      </c>
      <c r="D73" s="26" t="s">
        <v>289</v>
      </c>
      <c r="E73" s="27" t="s">
        <v>30</v>
      </c>
      <c r="F73" s="27" t="s">
        <v>31</v>
      </c>
      <c r="G73" s="27" t="s">
        <v>32</v>
      </c>
      <c r="H73" s="27" t="s">
        <v>33</v>
      </c>
      <c r="I73" s="27" t="s">
        <v>8</v>
      </c>
      <c r="J73" s="27">
        <v>3.24</v>
      </c>
      <c r="L73">
        <v>1</v>
      </c>
    </row>
    <row r="74" ht="48" spans="1:12">
      <c r="A74" s="25">
        <v>2</v>
      </c>
      <c r="B74" s="25" t="s">
        <v>288</v>
      </c>
      <c r="C74" s="25" t="s">
        <v>14</v>
      </c>
      <c r="D74" s="26" t="s">
        <v>290</v>
      </c>
      <c r="E74" s="27" t="s">
        <v>291</v>
      </c>
      <c r="F74" s="27" t="s">
        <v>292</v>
      </c>
      <c r="G74" s="27" t="s">
        <v>293</v>
      </c>
      <c r="H74" s="27" t="s">
        <v>294</v>
      </c>
      <c r="I74" s="27" t="s">
        <v>6</v>
      </c>
      <c r="J74" s="27">
        <v>4.3</v>
      </c>
      <c r="L74">
        <v>1</v>
      </c>
    </row>
    <row r="75" ht="48" spans="1:12">
      <c r="A75" s="25">
        <v>3</v>
      </c>
      <c r="B75" s="25" t="s">
        <v>288</v>
      </c>
      <c r="C75" s="25" t="s">
        <v>14</v>
      </c>
      <c r="D75" s="26" t="s">
        <v>295</v>
      </c>
      <c r="E75" s="27" t="s">
        <v>296</v>
      </c>
      <c r="F75" s="27" t="s">
        <v>297</v>
      </c>
      <c r="G75" s="27" t="s">
        <v>298</v>
      </c>
      <c r="H75" s="27" t="s">
        <v>299</v>
      </c>
      <c r="I75" s="27" t="s">
        <v>5</v>
      </c>
      <c r="J75" s="27" t="s">
        <v>300</v>
      </c>
      <c r="L75">
        <v>1</v>
      </c>
    </row>
    <row r="76" ht="36" spans="1:12">
      <c r="A76" s="25">
        <v>4</v>
      </c>
      <c r="B76" s="25" t="s">
        <v>288</v>
      </c>
      <c r="C76" s="25" t="s">
        <v>14</v>
      </c>
      <c r="D76" s="26" t="s">
        <v>301</v>
      </c>
      <c r="E76" s="27" t="s">
        <v>302</v>
      </c>
      <c r="F76" s="27" t="s">
        <v>303</v>
      </c>
      <c r="G76" s="27" t="s">
        <v>304</v>
      </c>
      <c r="H76" s="27" t="s">
        <v>305</v>
      </c>
      <c r="I76" s="27" t="s">
        <v>6</v>
      </c>
      <c r="J76" s="27" t="s">
        <v>306</v>
      </c>
      <c r="L76">
        <v>1</v>
      </c>
    </row>
    <row r="77" ht="36" spans="1:12">
      <c r="A77" s="25">
        <v>5</v>
      </c>
      <c r="B77" s="25" t="s">
        <v>288</v>
      </c>
      <c r="C77" s="25" t="s">
        <v>14</v>
      </c>
      <c r="D77" s="26" t="s">
        <v>307</v>
      </c>
      <c r="E77" s="27" t="s">
        <v>308</v>
      </c>
      <c r="F77" s="27" t="s">
        <v>309</v>
      </c>
      <c r="G77" s="27" t="s">
        <v>310</v>
      </c>
      <c r="H77" s="27" t="s">
        <v>311</v>
      </c>
      <c r="I77" s="27" t="s">
        <v>6</v>
      </c>
      <c r="J77" s="27" t="s">
        <v>312</v>
      </c>
      <c r="K77" s="23">
        <v>1</v>
      </c>
      <c r="L77">
        <v>2</v>
      </c>
    </row>
    <row r="78" ht="60" spans="1:12">
      <c r="A78" s="25">
        <v>6</v>
      </c>
      <c r="B78" s="25" t="s">
        <v>288</v>
      </c>
      <c r="C78" s="25" t="s">
        <v>14</v>
      </c>
      <c r="D78" s="26" t="s">
        <v>313</v>
      </c>
      <c r="E78" s="27" t="s">
        <v>92</v>
      </c>
      <c r="F78" s="27" t="s">
        <v>314</v>
      </c>
      <c r="G78" s="27" t="s">
        <v>60</v>
      </c>
      <c r="H78" s="27" t="s">
        <v>83</v>
      </c>
      <c r="I78" s="27" t="s">
        <v>6</v>
      </c>
      <c r="J78" s="27" t="s">
        <v>315</v>
      </c>
      <c r="L78">
        <v>1</v>
      </c>
    </row>
    <row r="79" ht="24" spans="1:12">
      <c r="A79" s="25">
        <v>7</v>
      </c>
      <c r="B79" s="25" t="s">
        <v>288</v>
      </c>
      <c r="C79" s="25" t="s">
        <v>14</v>
      </c>
      <c r="D79" s="26" t="s">
        <v>316</v>
      </c>
      <c r="E79" s="27" t="s">
        <v>56</v>
      </c>
      <c r="F79" s="27" t="s">
        <v>38</v>
      </c>
      <c r="G79" s="27" t="s">
        <v>36</v>
      </c>
      <c r="H79" s="27" t="s">
        <v>37</v>
      </c>
      <c r="I79" s="27" t="s">
        <v>5</v>
      </c>
      <c r="J79" s="27" t="s">
        <v>317</v>
      </c>
      <c r="L79">
        <v>1</v>
      </c>
    </row>
    <row r="80" ht="24" spans="1:12">
      <c r="A80" s="25">
        <v>8</v>
      </c>
      <c r="B80" s="25" t="s">
        <v>288</v>
      </c>
      <c r="C80" s="25" t="s">
        <v>14</v>
      </c>
      <c r="D80" s="26" t="s">
        <v>318</v>
      </c>
      <c r="E80" s="27" t="s">
        <v>56</v>
      </c>
      <c r="F80" s="27" t="s">
        <v>319</v>
      </c>
      <c r="G80" s="27" t="s">
        <v>320</v>
      </c>
      <c r="H80" s="27" t="s">
        <v>321</v>
      </c>
      <c r="I80" s="27" t="s">
        <v>7</v>
      </c>
      <c r="J80" s="27" t="s">
        <v>317</v>
      </c>
      <c r="L80">
        <v>1</v>
      </c>
    </row>
    <row r="81" ht="24" spans="1:12">
      <c r="A81" s="25">
        <v>9</v>
      </c>
      <c r="B81" s="25"/>
      <c r="C81" s="25"/>
      <c r="D81" s="26" t="s">
        <v>322</v>
      </c>
      <c r="E81" s="27" t="s">
        <v>323</v>
      </c>
      <c r="F81" s="27" t="s">
        <v>324</v>
      </c>
      <c r="G81" s="27" t="s">
        <v>325</v>
      </c>
      <c r="H81" s="27" t="s">
        <v>326</v>
      </c>
      <c r="I81" s="27" t="s">
        <v>6</v>
      </c>
      <c r="J81" s="27" t="s">
        <v>327</v>
      </c>
      <c r="L81">
        <v>1</v>
      </c>
    </row>
    <row r="82" ht="36" spans="1:12">
      <c r="A82" s="25">
        <v>10</v>
      </c>
      <c r="B82" s="25"/>
      <c r="C82" s="25"/>
      <c r="D82" s="26" t="s">
        <v>328</v>
      </c>
      <c r="E82" s="27" t="s">
        <v>83</v>
      </c>
      <c r="F82" s="27" t="s">
        <v>60</v>
      </c>
      <c r="G82" s="27" t="s">
        <v>329</v>
      </c>
      <c r="H82" s="27" t="s">
        <v>330</v>
      </c>
      <c r="I82" s="27" t="s">
        <v>7</v>
      </c>
      <c r="J82" s="27" t="s">
        <v>331</v>
      </c>
      <c r="L82">
        <v>1</v>
      </c>
    </row>
    <row r="83" ht="24" spans="1:12">
      <c r="A83" s="25">
        <v>11</v>
      </c>
      <c r="B83" s="25" t="s">
        <v>288</v>
      </c>
      <c r="C83" s="25" t="s">
        <v>14</v>
      </c>
      <c r="D83" s="26" t="s">
        <v>332</v>
      </c>
      <c r="E83" s="27" t="s">
        <v>333</v>
      </c>
      <c r="F83" s="27" t="s">
        <v>334</v>
      </c>
      <c r="G83" s="27" t="s">
        <v>335</v>
      </c>
      <c r="H83" s="27" t="s">
        <v>336</v>
      </c>
      <c r="I83" s="27" t="s">
        <v>6</v>
      </c>
      <c r="J83" s="27" t="s">
        <v>75</v>
      </c>
      <c r="L83">
        <v>1</v>
      </c>
    </row>
    <row r="84" ht="36" spans="1:12">
      <c r="A84" s="25">
        <v>12</v>
      </c>
      <c r="B84" s="25" t="s">
        <v>288</v>
      </c>
      <c r="C84" s="25" t="s">
        <v>14</v>
      </c>
      <c r="D84" s="26" t="s">
        <v>337</v>
      </c>
      <c r="E84" s="27" t="s">
        <v>60</v>
      </c>
      <c r="F84" s="27" t="s">
        <v>338</v>
      </c>
      <c r="G84" s="27" t="s">
        <v>339</v>
      </c>
      <c r="H84" s="27" t="s">
        <v>340</v>
      </c>
      <c r="I84" s="27" t="s">
        <v>5</v>
      </c>
      <c r="J84" s="27" t="s">
        <v>81</v>
      </c>
      <c r="L84">
        <v>1</v>
      </c>
    </row>
    <row r="85" ht="24" spans="1:12">
      <c r="A85" s="25">
        <v>13</v>
      </c>
      <c r="B85" s="25" t="s">
        <v>288</v>
      </c>
      <c r="C85" s="25" t="s">
        <v>14</v>
      </c>
      <c r="D85" s="26" t="s">
        <v>82</v>
      </c>
      <c r="E85" s="27" t="s">
        <v>84</v>
      </c>
      <c r="F85" s="27" t="s">
        <v>85</v>
      </c>
      <c r="G85" s="27" t="s">
        <v>83</v>
      </c>
      <c r="H85" s="27" t="s">
        <v>86</v>
      </c>
      <c r="I85" s="27" t="s">
        <v>6</v>
      </c>
      <c r="J85" s="27" t="s">
        <v>87</v>
      </c>
      <c r="K85" s="23">
        <v>1</v>
      </c>
      <c r="L85">
        <v>2</v>
      </c>
    </row>
    <row r="86" ht="24" spans="1:12">
      <c r="A86" s="25">
        <v>14</v>
      </c>
      <c r="B86" s="25" t="s">
        <v>288</v>
      </c>
      <c r="C86" s="25" t="s">
        <v>14</v>
      </c>
      <c r="D86" s="26" t="s">
        <v>91</v>
      </c>
      <c r="E86" s="27" t="s">
        <v>92</v>
      </c>
      <c r="F86" s="27" t="s">
        <v>60</v>
      </c>
      <c r="G86" s="27" t="s">
        <v>83</v>
      </c>
      <c r="H86" s="27" t="s">
        <v>59</v>
      </c>
      <c r="I86" s="27" t="s">
        <v>6</v>
      </c>
      <c r="J86" s="27" t="s">
        <v>93</v>
      </c>
      <c r="L86">
        <v>1</v>
      </c>
    </row>
    <row r="87" spans="1:12">
      <c r="A87" s="25">
        <v>15</v>
      </c>
      <c r="B87" s="25" t="s">
        <v>288</v>
      </c>
      <c r="C87" s="25" t="s">
        <v>14</v>
      </c>
      <c r="D87" s="26" t="s">
        <v>97</v>
      </c>
      <c r="E87" s="27" t="s">
        <v>43</v>
      </c>
      <c r="F87" s="27" t="s">
        <v>99</v>
      </c>
      <c r="G87" s="27" t="s">
        <v>98</v>
      </c>
      <c r="H87" s="27" t="s">
        <v>100</v>
      </c>
      <c r="I87" s="27" t="s">
        <v>6</v>
      </c>
      <c r="J87" s="27" t="s">
        <v>101</v>
      </c>
      <c r="L87">
        <v>1</v>
      </c>
    </row>
    <row r="88" ht="48" spans="1:12">
      <c r="A88" s="25">
        <v>16</v>
      </c>
      <c r="B88" s="25" t="s">
        <v>288</v>
      </c>
      <c r="C88" s="25" t="s">
        <v>14</v>
      </c>
      <c r="D88" s="26" t="s">
        <v>128</v>
      </c>
      <c r="E88" s="27" t="s">
        <v>129</v>
      </c>
      <c r="F88" s="27" t="s">
        <v>132</v>
      </c>
      <c r="G88" s="27" t="s">
        <v>130</v>
      </c>
      <c r="H88" s="27" t="s">
        <v>341</v>
      </c>
      <c r="I88" s="27" t="s">
        <v>6</v>
      </c>
      <c r="J88" s="27" t="s">
        <v>133</v>
      </c>
      <c r="L88">
        <v>1</v>
      </c>
    </row>
    <row r="89" ht="24" spans="1:12">
      <c r="A89" s="25">
        <v>17</v>
      </c>
      <c r="B89" s="25" t="s">
        <v>288</v>
      </c>
      <c r="C89" s="25" t="s">
        <v>14</v>
      </c>
      <c r="D89" s="26" t="s">
        <v>342</v>
      </c>
      <c r="E89" s="27" t="s">
        <v>343</v>
      </c>
      <c r="F89" s="27" t="s">
        <v>344</v>
      </c>
      <c r="G89" s="27" t="s">
        <v>345</v>
      </c>
      <c r="H89" s="27" t="s">
        <v>346</v>
      </c>
      <c r="I89" s="27" t="s">
        <v>8</v>
      </c>
      <c r="J89" s="27" t="s">
        <v>347</v>
      </c>
      <c r="L89">
        <v>1</v>
      </c>
    </row>
    <row r="90" ht="24" spans="1:12">
      <c r="A90" s="25">
        <v>18</v>
      </c>
      <c r="B90" s="25" t="s">
        <v>288</v>
      </c>
      <c r="C90" s="25" t="s">
        <v>14</v>
      </c>
      <c r="D90" s="26" t="s">
        <v>348</v>
      </c>
      <c r="E90" s="27" t="s">
        <v>310</v>
      </c>
      <c r="F90" s="27" t="s">
        <v>349</v>
      </c>
      <c r="G90" s="27" t="s">
        <v>308</v>
      </c>
      <c r="H90" s="27" t="s">
        <v>350</v>
      </c>
      <c r="I90" s="27" t="s">
        <v>8</v>
      </c>
      <c r="J90" s="27" t="s">
        <v>351</v>
      </c>
      <c r="L90">
        <v>1</v>
      </c>
    </row>
    <row r="91" ht="24" spans="1:12">
      <c r="A91" s="25">
        <v>19</v>
      </c>
      <c r="B91" s="25" t="s">
        <v>288</v>
      </c>
      <c r="C91" s="25" t="s">
        <v>14</v>
      </c>
      <c r="D91" s="26" t="s">
        <v>352</v>
      </c>
      <c r="E91" s="27" t="s">
        <v>353</v>
      </c>
      <c r="F91" s="27" t="s">
        <v>354</v>
      </c>
      <c r="G91" s="27" t="s">
        <v>355</v>
      </c>
      <c r="H91" s="27" t="s">
        <v>356</v>
      </c>
      <c r="I91" s="27" t="s">
        <v>8</v>
      </c>
      <c r="J91" s="27" t="s">
        <v>357</v>
      </c>
      <c r="L91">
        <v>1</v>
      </c>
    </row>
    <row r="92" ht="36" spans="1:12">
      <c r="A92" s="25">
        <v>20</v>
      </c>
      <c r="B92" s="25" t="s">
        <v>288</v>
      </c>
      <c r="C92" s="25" t="s">
        <v>14</v>
      </c>
      <c r="D92" s="26" t="s">
        <v>358</v>
      </c>
      <c r="E92" s="27" t="s">
        <v>37</v>
      </c>
      <c r="F92" s="27" t="s">
        <v>38</v>
      </c>
      <c r="G92" s="27" t="s">
        <v>56</v>
      </c>
      <c r="H92" s="27" t="s">
        <v>319</v>
      </c>
      <c r="I92" s="27" t="s">
        <v>7</v>
      </c>
      <c r="J92" s="27" t="s">
        <v>359</v>
      </c>
      <c r="K92" s="23">
        <v>1</v>
      </c>
      <c r="L92">
        <v>2</v>
      </c>
    </row>
    <row r="93" ht="24" spans="1:12">
      <c r="A93" s="25">
        <v>21</v>
      </c>
      <c r="B93" s="25" t="s">
        <v>288</v>
      </c>
      <c r="C93" s="25" t="s">
        <v>14</v>
      </c>
      <c r="D93" s="26" t="s">
        <v>360</v>
      </c>
      <c r="E93" s="27" t="s">
        <v>361</v>
      </c>
      <c r="F93" s="27" t="s">
        <v>362</v>
      </c>
      <c r="G93" s="27" t="s">
        <v>363</v>
      </c>
      <c r="H93" s="27" t="s">
        <v>364</v>
      </c>
      <c r="I93" s="27" t="s">
        <v>6</v>
      </c>
      <c r="J93" s="27" t="s">
        <v>365</v>
      </c>
      <c r="L93">
        <v>1</v>
      </c>
    </row>
    <row r="94" ht="36" spans="1:12">
      <c r="A94" s="25">
        <v>22</v>
      </c>
      <c r="B94" s="25" t="s">
        <v>288</v>
      </c>
      <c r="C94" s="25" t="s">
        <v>14</v>
      </c>
      <c r="D94" s="26" t="s">
        <v>366</v>
      </c>
      <c r="E94" s="27" t="s">
        <v>367</v>
      </c>
      <c r="F94" s="27" t="s">
        <v>368</v>
      </c>
      <c r="G94" s="27" t="s">
        <v>369</v>
      </c>
      <c r="H94" s="27" t="s">
        <v>370</v>
      </c>
      <c r="I94" s="27" t="s">
        <v>7</v>
      </c>
      <c r="J94" s="27" t="s">
        <v>371</v>
      </c>
      <c r="L94">
        <v>1</v>
      </c>
    </row>
    <row r="95" ht="24" spans="1:12">
      <c r="A95" s="25">
        <v>23</v>
      </c>
      <c r="B95" s="25" t="s">
        <v>288</v>
      </c>
      <c r="C95" s="25" t="s">
        <v>14</v>
      </c>
      <c r="D95" s="26" t="s">
        <v>372</v>
      </c>
      <c r="E95" s="27" t="s">
        <v>373</v>
      </c>
      <c r="F95" s="27" t="s">
        <v>374</v>
      </c>
      <c r="G95" s="27" t="s">
        <v>375</v>
      </c>
      <c r="H95" s="27" t="s">
        <v>376</v>
      </c>
      <c r="I95" s="27" t="s">
        <v>8</v>
      </c>
      <c r="J95" s="27" t="s">
        <v>377</v>
      </c>
      <c r="L95">
        <v>1</v>
      </c>
    </row>
    <row r="96" ht="48" spans="1:12">
      <c r="A96" s="25">
        <v>24</v>
      </c>
      <c r="B96" s="25" t="s">
        <v>288</v>
      </c>
      <c r="C96" s="25" t="s">
        <v>14</v>
      </c>
      <c r="D96" s="26" t="s">
        <v>378</v>
      </c>
      <c r="E96" s="27" t="s">
        <v>379</v>
      </c>
      <c r="F96" s="27" t="s">
        <v>380</v>
      </c>
      <c r="G96" s="27" t="s">
        <v>381</v>
      </c>
      <c r="H96" s="27" t="s">
        <v>382</v>
      </c>
      <c r="I96" s="27" t="s">
        <v>7</v>
      </c>
      <c r="J96" s="27" t="s">
        <v>383</v>
      </c>
      <c r="L96">
        <v>1</v>
      </c>
    </row>
    <row r="97" spans="1:12">
      <c r="A97" s="25">
        <v>25</v>
      </c>
      <c r="B97" s="25" t="s">
        <v>288</v>
      </c>
      <c r="C97" s="25" t="s">
        <v>14</v>
      </c>
      <c r="D97" s="26" t="s">
        <v>384</v>
      </c>
      <c r="E97" s="27" t="s">
        <v>350</v>
      </c>
      <c r="F97" s="27" t="s">
        <v>385</v>
      </c>
      <c r="G97" s="27" t="s">
        <v>386</v>
      </c>
      <c r="H97" s="27" t="s">
        <v>308</v>
      </c>
      <c r="I97" s="27" t="s">
        <v>7</v>
      </c>
      <c r="J97" s="27" t="s">
        <v>387</v>
      </c>
      <c r="L97">
        <v>1</v>
      </c>
    </row>
    <row r="98" ht="24" spans="1:12">
      <c r="A98" s="25">
        <v>26</v>
      </c>
      <c r="B98" s="25" t="s">
        <v>288</v>
      </c>
      <c r="C98" s="25" t="s">
        <v>14</v>
      </c>
      <c r="D98" s="26" t="s">
        <v>388</v>
      </c>
      <c r="E98" s="27" t="s">
        <v>389</v>
      </c>
      <c r="F98" s="27" t="s">
        <v>390</v>
      </c>
      <c r="G98" s="27" t="s">
        <v>391</v>
      </c>
      <c r="H98" s="27" t="s">
        <v>392</v>
      </c>
      <c r="I98" s="27" t="s">
        <v>5</v>
      </c>
      <c r="J98" s="27" t="s">
        <v>393</v>
      </c>
      <c r="L98">
        <v>1</v>
      </c>
    </row>
    <row r="99" ht="48" spans="1:12">
      <c r="A99" s="25">
        <v>27</v>
      </c>
      <c r="B99" s="25" t="s">
        <v>288</v>
      </c>
      <c r="C99" s="25" t="s">
        <v>14</v>
      </c>
      <c r="D99" s="26" t="s">
        <v>394</v>
      </c>
      <c r="E99" s="27" t="s">
        <v>395</v>
      </c>
      <c r="F99" s="27" t="s">
        <v>396</v>
      </c>
      <c r="G99" s="27" t="s">
        <v>397</v>
      </c>
      <c r="H99" s="27" t="s">
        <v>370</v>
      </c>
      <c r="I99" s="27" t="s">
        <v>7</v>
      </c>
      <c r="J99" s="27" t="s">
        <v>398</v>
      </c>
      <c r="K99" s="23">
        <v>1</v>
      </c>
      <c r="L99">
        <v>2</v>
      </c>
    </row>
    <row r="100" ht="60" spans="1:12">
      <c r="A100" s="25">
        <v>28</v>
      </c>
      <c r="B100" s="25" t="s">
        <v>288</v>
      </c>
      <c r="C100" s="25" t="s">
        <v>14</v>
      </c>
      <c r="D100" s="26" t="s">
        <v>399</v>
      </c>
      <c r="E100" s="27" t="s">
        <v>400</v>
      </c>
      <c r="F100" s="27" t="s">
        <v>401</v>
      </c>
      <c r="G100" s="27" t="s">
        <v>402</v>
      </c>
      <c r="H100" s="27" t="s">
        <v>403</v>
      </c>
      <c r="I100" s="27" t="s">
        <v>5</v>
      </c>
      <c r="J100" s="27" t="s">
        <v>404</v>
      </c>
      <c r="L100">
        <v>1</v>
      </c>
    </row>
    <row r="101" ht="48" spans="1:12">
      <c r="A101" s="25">
        <v>29</v>
      </c>
      <c r="B101" s="25" t="s">
        <v>288</v>
      </c>
      <c r="C101" s="25" t="s">
        <v>14</v>
      </c>
      <c r="D101" s="26" t="s">
        <v>405</v>
      </c>
      <c r="E101" s="27" t="s">
        <v>406</v>
      </c>
      <c r="F101" s="27" t="s">
        <v>407</v>
      </c>
      <c r="G101" s="27" t="s">
        <v>408</v>
      </c>
      <c r="H101" s="27" t="s">
        <v>370</v>
      </c>
      <c r="I101" s="27" t="s">
        <v>6</v>
      </c>
      <c r="J101" s="27" t="s">
        <v>409</v>
      </c>
      <c r="L101">
        <v>1</v>
      </c>
    </row>
    <row r="102" ht="36" spans="1:12">
      <c r="A102" s="25">
        <v>30</v>
      </c>
      <c r="B102" s="25" t="s">
        <v>288</v>
      </c>
      <c r="C102" s="25" t="s">
        <v>14</v>
      </c>
      <c r="D102" s="26" t="s">
        <v>410</v>
      </c>
      <c r="E102" s="27" t="s">
        <v>411</v>
      </c>
      <c r="F102" s="27" t="s">
        <v>412</v>
      </c>
      <c r="G102" s="27" t="s">
        <v>413</v>
      </c>
      <c r="H102" s="27" t="s">
        <v>370</v>
      </c>
      <c r="I102" s="27" t="s">
        <v>7</v>
      </c>
      <c r="J102" s="27" t="s">
        <v>414</v>
      </c>
      <c r="L102">
        <v>1</v>
      </c>
    </row>
    <row r="103" ht="48" spans="1:12">
      <c r="A103" s="25">
        <v>31</v>
      </c>
      <c r="B103" s="25" t="s">
        <v>288</v>
      </c>
      <c r="C103" s="25" t="s">
        <v>14</v>
      </c>
      <c r="D103" s="26" t="s">
        <v>415</v>
      </c>
      <c r="E103" s="27">
        <v>0.1</v>
      </c>
      <c r="F103" s="27">
        <v>0.2</v>
      </c>
      <c r="G103" s="27">
        <v>0.3</v>
      </c>
      <c r="H103" s="27">
        <v>0.4</v>
      </c>
      <c r="I103" s="27" t="s">
        <v>5</v>
      </c>
      <c r="J103" s="27" t="s">
        <v>416</v>
      </c>
      <c r="K103" s="23">
        <v>1</v>
      </c>
      <c r="L103">
        <v>2</v>
      </c>
    </row>
    <row r="104" spans="1:12">
      <c r="A104" s="25">
        <v>32</v>
      </c>
      <c r="B104" s="25" t="s">
        <v>288</v>
      </c>
      <c r="C104" s="25" t="s">
        <v>14</v>
      </c>
      <c r="D104" s="26" t="s">
        <v>417</v>
      </c>
      <c r="E104" s="27">
        <v>5</v>
      </c>
      <c r="F104" s="27">
        <v>4</v>
      </c>
      <c r="G104" s="27">
        <v>3</v>
      </c>
      <c r="H104" s="27">
        <v>2</v>
      </c>
      <c r="I104" s="27" t="s">
        <v>5</v>
      </c>
      <c r="J104" s="27" t="s">
        <v>418</v>
      </c>
      <c r="L104">
        <v>1</v>
      </c>
    </row>
    <row r="105" ht="24" spans="1:12">
      <c r="A105" s="25">
        <v>33</v>
      </c>
      <c r="B105" s="25" t="s">
        <v>288</v>
      </c>
      <c r="C105" s="25" t="s">
        <v>14</v>
      </c>
      <c r="D105" s="26" t="s">
        <v>419</v>
      </c>
      <c r="E105" s="27" t="s">
        <v>38</v>
      </c>
      <c r="F105" s="27" t="s">
        <v>56</v>
      </c>
      <c r="G105" s="27" t="s">
        <v>321</v>
      </c>
      <c r="H105" s="27" t="s">
        <v>319</v>
      </c>
      <c r="I105" s="27" t="s">
        <v>5</v>
      </c>
      <c r="J105" s="27" t="s">
        <v>420</v>
      </c>
      <c r="L105">
        <v>1</v>
      </c>
    </row>
    <row r="106" ht="48" spans="1:12">
      <c r="A106" s="25">
        <v>34</v>
      </c>
      <c r="B106" s="25" t="s">
        <v>288</v>
      </c>
      <c r="C106" s="25" t="s">
        <v>14</v>
      </c>
      <c r="D106" s="26" t="s">
        <v>421</v>
      </c>
      <c r="E106" s="27" t="s">
        <v>422</v>
      </c>
      <c r="F106" s="27" t="s">
        <v>423</v>
      </c>
      <c r="G106" s="27" t="s">
        <v>424</v>
      </c>
      <c r="H106" s="27" t="s">
        <v>425</v>
      </c>
      <c r="I106" s="27" t="s">
        <v>6</v>
      </c>
      <c r="J106" s="27" t="s">
        <v>426</v>
      </c>
      <c r="L106">
        <v>1</v>
      </c>
    </row>
    <row r="107" ht="24" spans="1:12">
      <c r="A107" s="25">
        <v>35</v>
      </c>
      <c r="B107" s="25" t="s">
        <v>288</v>
      </c>
      <c r="C107" s="25" t="s">
        <v>14</v>
      </c>
      <c r="D107" s="26" t="s">
        <v>427</v>
      </c>
      <c r="E107" s="27" t="s">
        <v>428</v>
      </c>
      <c r="F107" s="27" t="s">
        <v>429</v>
      </c>
      <c r="G107" s="27" t="s">
        <v>430</v>
      </c>
      <c r="H107" s="27" t="s">
        <v>431</v>
      </c>
      <c r="I107" s="27" t="s">
        <v>5</v>
      </c>
      <c r="J107" s="27" t="s">
        <v>432</v>
      </c>
      <c r="L107">
        <v>1</v>
      </c>
    </row>
    <row r="108" spans="1:12">
      <c r="A108" s="25">
        <v>36</v>
      </c>
      <c r="B108" s="25" t="s">
        <v>288</v>
      </c>
      <c r="C108" s="25" t="s">
        <v>14</v>
      </c>
      <c r="D108" s="26" t="s">
        <v>433</v>
      </c>
      <c r="E108" s="27" t="s">
        <v>434</v>
      </c>
      <c r="F108" s="27" t="s">
        <v>435</v>
      </c>
      <c r="G108" s="27" t="s">
        <v>436</v>
      </c>
      <c r="H108" s="27" t="s">
        <v>437</v>
      </c>
      <c r="I108" s="27" t="s">
        <v>6</v>
      </c>
      <c r="J108" s="27" t="s">
        <v>438</v>
      </c>
      <c r="L108">
        <v>1</v>
      </c>
    </row>
    <row r="109" ht="36" spans="1:12">
      <c r="A109" s="25">
        <v>37</v>
      </c>
      <c r="B109" s="25" t="s">
        <v>288</v>
      </c>
      <c r="C109" s="25" t="s">
        <v>14</v>
      </c>
      <c r="D109" s="26" t="s">
        <v>439</v>
      </c>
      <c r="E109" s="27">
        <v>1</v>
      </c>
      <c r="F109" s="27">
        <v>2</v>
      </c>
      <c r="G109" s="27">
        <v>3</v>
      </c>
      <c r="H109" s="27">
        <v>4</v>
      </c>
      <c r="I109" s="27" t="s">
        <v>5</v>
      </c>
      <c r="J109" s="27" t="s">
        <v>440</v>
      </c>
      <c r="L109">
        <v>1</v>
      </c>
    </row>
    <row r="110" ht="24" spans="1:12">
      <c r="A110" s="25">
        <v>38</v>
      </c>
      <c r="B110" s="25" t="s">
        <v>288</v>
      </c>
      <c r="C110" s="25" t="s">
        <v>14</v>
      </c>
      <c r="D110" s="26" t="s">
        <v>441</v>
      </c>
      <c r="E110" s="27" t="s">
        <v>442</v>
      </c>
      <c r="F110" s="27" t="s">
        <v>443</v>
      </c>
      <c r="G110" s="27" t="s">
        <v>444</v>
      </c>
      <c r="H110" s="27" t="s">
        <v>370</v>
      </c>
      <c r="I110" s="27" t="s">
        <v>6</v>
      </c>
      <c r="J110" s="27" t="s">
        <v>445</v>
      </c>
      <c r="L110">
        <v>1</v>
      </c>
    </row>
    <row r="111" ht="24" spans="1:12">
      <c r="A111" s="25">
        <v>39</v>
      </c>
      <c r="B111" s="25" t="s">
        <v>288</v>
      </c>
      <c r="C111" s="25" t="s">
        <v>14</v>
      </c>
      <c r="D111" s="26" t="s">
        <v>446</v>
      </c>
      <c r="E111" s="27" t="s">
        <v>60</v>
      </c>
      <c r="F111" s="27" t="s">
        <v>83</v>
      </c>
      <c r="G111" s="27" t="s">
        <v>144</v>
      </c>
      <c r="H111" s="27" t="s">
        <v>447</v>
      </c>
      <c r="I111" s="27" t="s">
        <v>5</v>
      </c>
      <c r="J111" s="27" t="s">
        <v>448</v>
      </c>
      <c r="K111" s="23">
        <v>1</v>
      </c>
      <c r="L111">
        <v>2</v>
      </c>
    </row>
    <row r="112" ht="48" spans="1:12">
      <c r="A112" s="25">
        <v>40</v>
      </c>
      <c r="B112" s="25" t="s">
        <v>288</v>
      </c>
      <c r="C112" s="25" t="s">
        <v>14</v>
      </c>
      <c r="D112" s="26" t="s">
        <v>449</v>
      </c>
      <c r="E112" s="27" t="s">
        <v>450</v>
      </c>
      <c r="F112" s="27" t="s">
        <v>451</v>
      </c>
      <c r="G112" s="27" t="s">
        <v>452</v>
      </c>
      <c r="H112" s="27" t="s">
        <v>453</v>
      </c>
      <c r="I112" s="27" t="s">
        <v>5</v>
      </c>
      <c r="J112" s="27" t="s">
        <v>454</v>
      </c>
      <c r="L112">
        <v>1</v>
      </c>
    </row>
    <row r="113" ht="24" spans="1:12">
      <c r="A113" s="25">
        <v>41</v>
      </c>
      <c r="B113" s="25" t="s">
        <v>288</v>
      </c>
      <c r="C113" s="25" t="s">
        <v>14</v>
      </c>
      <c r="D113" s="26" t="s">
        <v>455</v>
      </c>
      <c r="E113" s="27" t="s">
        <v>456</v>
      </c>
      <c r="F113" s="27" t="s">
        <v>457</v>
      </c>
      <c r="G113" s="27" t="s">
        <v>458</v>
      </c>
      <c r="H113" s="27" t="s">
        <v>459</v>
      </c>
      <c r="I113" s="27" t="s">
        <v>5</v>
      </c>
      <c r="J113" s="27" t="s">
        <v>460</v>
      </c>
      <c r="L113">
        <v>1</v>
      </c>
    </row>
    <row r="114" ht="24" spans="1:12">
      <c r="A114" s="25">
        <v>42</v>
      </c>
      <c r="B114" s="25" t="s">
        <v>288</v>
      </c>
      <c r="C114" s="25" t="s">
        <v>14</v>
      </c>
      <c r="D114" s="26" t="s">
        <v>461</v>
      </c>
      <c r="E114" s="27" t="s">
        <v>462</v>
      </c>
      <c r="F114" s="27" t="s">
        <v>463</v>
      </c>
      <c r="G114" s="27" t="s">
        <v>464</v>
      </c>
      <c r="H114" s="27" t="s">
        <v>465</v>
      </c>
      <c r="I114" s="27" t="s">
        <v>5</v>
      </c>
      <c r="J114" s="27" t="s">
        <v>466</v>
      </c>
      <c r="L114">
        <v>1</v>
      </c>
    </row>
    <row r="115" ht="36" spans="1:12">
      <c r="A115" s="25">
        <v>43</v>
      </c>
      <c r="B115" s="25" t="s">
        <v>288</v>
      </c>
      <c r="C115" s="25" t="s">
        <v>14</v>
      </c>
      <c r="D115" s="26" t="s">
        <v>467</v>
      </c>
      <c r="E115" s="27" t="s">
        <v>468</v>
      </c>
      <c r="F115" s="27" t="s">
        <v>469</v>
      </c>
      <c r="G115" s="27" t="s">
        <v>470</v>
      </c>
      <c r="H115" s="27" t="s">
        <v>471</v>
      </c>
      <c r="I115" s="27" t="s">
        <v>6</v>
      </c>
      <c r="J115" s="27" t="s">
        <v>472</v>
      </c>
      <c r="L115">
        <v>1</v>
      </c>
    </row>
    <row r="116" ht="24" spans="1:12">
      <c r="A116" s="25">
        <v>44</v>
      </c>
      <c r="B116" s="25" t="s">
        <v>288</v>
      </c>
      <c r="C116" s="25" t="s">
        <v>14</v>
      </c>
      <c r="D116" s="26" t="s">
        <v>473</v>
      </c>
      <c r="E116" s="27" t="s">
        <v>474</v>
      </c>
      <c r="F116" s="27" t="s">
        <v>475</v>
      </c>
      <c r="G116" s="27" t="s">
        <v>476</v>
      </c>
      <c r="H116" s="27" t="s">
        <v>477</v>
      </c>
      <c r="I116" s="27" t="s">
        <v>7</v>
      </c>
      <c r="J116" s="27" t="s">
        <v>478</v>
      </c>
      <c r="L116">
        <v>1</v>
      </c>
    </row>
    <row r="117" ht="24" spans="1:12">
      <c r="A117" s="25">
        <v>45</v>
      </c>
      <c r="B117" s="25" t="s">
        <v>288</v>
      </c>
      <c r="C117" s="25" t="s">
        <v>14</v>
      </c>
      <c r="D117" s="26" t="s">
        <v>479</v>
      </c>
      <c r="E117" s="27" t="s">
        <v>480</v>
      </c>
      <c r="F117" s="27" t="s">
        <v>481</v>
      </c>
      <c r="G117" s="27" t="s">
        <v>482</v>
      </c>
      <c r="H117" s="27" t="s">
        <v>483</v>
      </c>
      <c r="I117" s="27" t="s">
        <v>5</v>
      </c>
      <c r="J117" s="27" t="s">
        <v>484</v>
      </c>
      <c r="L117">
        <v>1</v>
      </c>
    </row>
    <row r="118" ht="36" spans="1:12">
      <c r="A118" s="25">
        <v>46</v>
      </c>
      <c r="B118" s="25" t="s">
        <v>288</v>
      </c>
      <c r="C118" s="25" t="s">
        <v>14</v>
      </c>
      <c r="D118" s="26" t="s">
        <v>485</v>
      </c>
      <c r="E118" s="27" t="s">
        <v>486</v>
      </c>
      <c r="F118" s="27" t="s">
        <v>487</v>
      </c>
      <c r="G118" s="27" t="s">
        <v>488</v>
      </c>
      <c r="H118" s="27" t="s">
        <v>489</v>
      </c>
      <c r="I118" s="27" t="s">
        <v>7</v>
      </c>
      <c r="J118" s="27" t="s">
        <v>490</v>
      </c>
      <c r="L118">
        <v>1</v>
      </c>
    </row>
    <row r="119" spans="1:12">
      <c r="A119" s="25">
        <v>47</v>
      </c>
      <c r="B119" s="25" t="s">
        <v>288</v>
      </c>
      <c r="C119" s="25" t="s">
        <v>14</v>
      </c>
      <c r="D119" s="26" t="s">
        <v>146</v>
      </c>
      <c r="E119" s="27">
        <v>3</v>
      </c>
      <c r="F119" s="27">
        <v>6</v>
      </c>
      <c r="G119" s="27">
        <v>2</v>
      </c>
      <c r="H119" s="27">
        <v>5</v>
      </c>
      <c r="I119" s="27" t="s">
        <v>6</v>
      </c>
      <c r="J119" s="27" t="s">
        <v>147</v>
      </c>
      <c r="K119" s="23">
        <v>1</v>
      </c>
      <c r="L119">
        <v>2</v>
      </c>
    </row>
    <row r="120" ht="24" spans="1:12">
      <c r="A120" s="25">
        <v>48</v>
      </c>
      <c r="B120" s="25" t="s">
        <v>288</v>
      </c>
      <c r="C120" s="25" t="s">
        <v>14</v>
      </c>
      <c r="D120" s="26" t="s">
        <v>491</v>
      </c>
      <c r="E120" s="27" t="s">
        <v>492</v>
      </c>
      <c r="F120" s="27" t="s">
        <v>493</v>
      </c>
      <c r="G120" s="27" t="s">
        <v>494</v>
      </c>
      <c r="H120" s="27" t="s">
        <v>495</v>
      </c>
      <c r="I120" s="27" t="s">
        <v>6</v>
      </c>
      <c r="J120" s="27" t="s">
        <v>496</v>
      </c>
      <c r="K120" s="23">
        <v>1</v>
      </c>
      <c r="L120">
        <v>2</v>
      </c>
    </row>
    <row r="121" ht="36" spans="1:12">
      <c r="A121" s="25">
        <v>49</v>
      </c>
      <c r="B121" s="25" t="s">
        <v>288</v>
      </c>
      <c r="C121" s="25" t="s">
        <v>14</v>
      </c>
      <c r="D121" s="26" t="s">
        <v>497</v>
      </c>
      <c r="E121" s="27" t="s">
        <v>498</v>
      </c>
      <c r="F121" s="27" t="s">
        <v>499</v>
      </c>
      <c r="G121" s="27" t="s">
        <v>500</v>
      </c>
      <c r="H121" s="27" t="s">
        <v>501</v>
      </c>
      <c r="I121" s="27" t="s">
        <v>7</v>
      </c>
      <c r="J121" s="27" t="s">
        <v>502</v>
      </c>
      <c r="L121">
        <v>1</v>
      </c>
    </row>
    <row r="122" ht="24" spans="1:12">
      <c r="A122" s="25">
        <v>50</v>
      </c>
      <c r="B122" s="25" t="s">
        <v>288</v>
      </c>
      <c r="C122" s="25" t="s">
        <v>14</v>
      </c>
      <c r="D122" s="26" t="s">
        <v>503</v>
      </c>
      <c r="E122" s="27" t="s">
        <v>504</v>
      </c>
      <c r="F122" s="27" t="s">
        <v>505</v>
      </c>
      <c r="G122" s="27" t="s">
        <v>506</v>
      </c>
      <c r="H122" s="27" t="s">
        <v>507</v>
      </c>
      <c r="I122" s="27" t="s">
        <v>5</v>
      </c>
      <c r="J122" s="27" t="s">
        <v>508</v>
      </c>
      <c r="K122" s="23">
        <v>1</v>
      </c>
      <c r="L122">
        <v>2</v>
      </c>
    </row>
    <row r="123" ht="48" spans="1:12">
      <c r="A123" s="25">
        <v>51</v>
      </c>
      <c r="B123" s="25" t="s">
        <v>288</v>
      </c>
      <c r="C123" s="25" t="s">
        <v>14</v>
      </c>
      <c r="D123" s="26" t="s">
        <v>509</v>
      </c>
      <c r="E123" s="27" t="s">
        <v>510</v>
      </c>
      <c r="F123" s="27" t="s">
        <v>511</v>
      </c>
      <c r="G123" s="27" t="s">
        <v>512</v>
      </c>
      <c r="H123" s="27" t="s">
        <v>370</v>
      </c>
      <c r="I123" s="27" t="s">
        <v>7</v>
      </c>
      <c r="J123" s="27" t="s">
        <v>513</v>
      </c>
      <c r="L123">
        <v>1</v>
      </c>
    </row>
    <row r="124" ht="36" spans="1:12">
      <c r="A124" s="25">
        <v>52</v>
      </c>
      <c r="B124" s="25" t="s">
        <v>288</v>
      </c>
      <c r="C124" s="25" t="s">
        <v>14</v>
      </c>
      <c r="D124" s="26" t="s">
        <v>514</v>
      </c>
      <c r="E124" s="27" t="s">
        <v>515</v>
      </c>
      <c r="F124" s="27" t="s">
        <v>516</v>
      </c>
      <c r="G124" s="27" t="s">
        <v>517</v>
      </c>
      <c r="H124" s="27" t="s">
        <v>370</v>
      </c>
      <c r="I124" s="27" t="s">
        <v>6</v>
      </c>
      <c r="J124" s="27" t="s">
        <v>518</v>
      </c>
      <c r="L124">
        <v>1</v>
      </c>
    </row>
    <row r="125" ht="48" spans="1:12">
      <c r="A125" s="25">
        <v>53</v>
      </c>
      <c r="B125" s="25" t="s">
        <v>288</v>
      </c>
      <c r="C125" s="25" t="s">
        <v>14</v>
      </c>
      <c r="D125" s="26" t="s">
        <v>519</v>
      </c>
      <c r="E125" s="27" t="s">
        <v>520</v>
      </c>
      <c r="F125" s="27" t="s">
        <v>521</v>
      </c>
      <c r="G125" s="27" t="s">
        <v>522</v>
      </c>
      <c r="H125" s="27" t="s">
        <v>370</v>
      </c>
      <c r="I125" s="27" t="s">
        <v>7</v>
      </c>
      <c r="J125" s="27" t="s">
        <v>523</v>
      </c>
      <c r="K125" s="23">
        <v>1</v>
      </c>
      <c r="L125">
        <v>2</v>
      </c>
    </row>
    <row r="126" ht="36" spans="1:12">
      <c r="A126" s="25">
        <v>54</v>
      </c>
      <c r="B126" s="25" t="s">
        <v>288</v>
      </c>
      <c r="C126" s="25" t="s">
        <v>14</v>
      </c>
      <c r="D126" s="26" t="s">
        <v>524</v>
      </c>
      <c r="E126" s="27" t="s">
        <v>525</v>
      </c>
      <c r="F126" s="27" t="s">
        <v>526</v>
      </c>
      <c r="G126" s="27" t="s">
        <v>527</v>
      </c>
      <c r="H126" s="27" t="s">
        <v>528</v>
      </c>
      <c r="I126" s="27" t="s">
        <v>6</v>
      </c>
      <c r="J126" s="27" t="s">
        <v>529</v>
      </c>
      <c r="L126">
        <v>1</v>
      </c>
    </row>
    <row r="127" ht="36" spans="1:12">
      <c r="A127" s="25">
        <v>1</v>
      </c>
      <c r="B127" s="25" t="s">
        <v>288</v>
      </c>
      <c r="C127" s="25" t="s">
        <v>150</v>
      </c>
      <c r="D127" s="26" t="s">
        <v>530</v>
      </c>
      <c r="E127" s="27" t="s">
        <v>531</v>
      </c>
      <c r="F127" s="27" t="s">
        <v>532</v>
      </c>
      <c r="G127" s="27" t="s">
        <v>533</v>
      </c>
      <c r="H127" s="27" t="s">
        <v>40</v>
      </c>
      <c r="I127" s="27" t="s">
        <v>534</v>
      </c>
      <c r="J127" s="27">
        <v>4.3</v>
      </c>
      <c r="L127">
        <v>1</v>
      </c>
    </row>
    <row r="128" ht="96" spans="1:12">
      <c r="A128" s="25">
        <v>2</v>
      </c>
      <c r="B128" s="25" t="s">
        <v>288</v>
      </c>
      <c r="C128" s="25" t="s">
        <v>150</v>
      </c>
      <c r="D128" s="26" t="s">
        <v>535</v>
      </c>
      <c r="E128" s="27" t="s">
        <v>536</v>
      </c>
      <c r="F128" s="27" t="s">
        <v>537</v>
      </c>
      <c r="G128" s="27" t="s">
        <v>538</v>
      </c>
      <c r="H128" s="27" t="s">
        <v>539</v>
      </c>
      <c r="I128" s="27" t="s">
        <v>178</v>
      </c>
      <c r="J128" s="27" t="s">
        <v>300</v>
      </c>
      <c r="L128">
        <v>1</v>
      </c>
    </row>
    <row r="129" spans="1:12">
      <c r="A129" s="25">
        <v>3</v>
      </c>
      <c r="B129" s="25" t="s">
        <v>288</v>
      </c>
      <c r="C129" s="25" t="s">
        <v>150</v>
      </c>
      <c r="D129" s="26" t="s">
        <v>540</v>
      </c>
      <c r="E129" s="27" t="s">
        <v>541</v>
      </c>
      <c r="F129" s="27" t="s">
        <v>542</v>
      </c>
      <c r="G129" s="27" t="s">
        <v>324</v>
      </c>
      <c r="H129" s="27" t="s">
        <v>325</v>
      </c>
      <c r="I129" s="27" t="s">
        <v>153</v>
      </c>
      <c r="J129" s="27" t="s">
        <v>327</v>
      </c>
      <c r="L129">
        <v>1</v>
      </c>
    </row>
    <row r="130" ht="36" spans="1:12">
      <c r="A130" s="25">
        <v>4</v>
      </c>
      <c r="B130" s="25" t="s">
        <v>288</v>
      </c>
      <c r="C130" s="25" t="s">
        <v>150</v>
      </c>
      <c r="D130" s="26" t="s">
        <v>543</v>
      </c>
      <c r="E130" s="27" t="s">
        <v>175</v>
      </c>
      <c r="F130" s="27" t="s">
        <v>544</v>
      </c>
      <c r="G130" s="27" t="s">
        <v>176</v>
      </c>
      <c r="H130" s="27" t="s">
        <v>177</v>
      </c>
      <c r="I130" s="27" t="s">
        <v>203</v>
      </c>
      <c r="J130" s="27" t="s">
        <v>179</v>
      </c>
      <c r="K130" s="22">
        <v>1</v>
      </c>
      <c r="L130">
        <v>1</v>
      </c>
    </row>
    <row r="131" ht="36" spans="1:12">
      <c r="A131" s="25">
        <v>5</v>
      </c>
      <c r="B131" s="25" t="s">
        <v>288</v>
      </c>
      <c r="C131" s="25" t="s">
        <v>150</v>
      </c>
      <c r="D131" s="26" t="s">
        <v>545</v>
      </c>
      <c r="E131" s="27" t="s">
        <v>546</v>
      </c>
      <c r="F131" s="27" t="s">
        <v>73</v>
      </c>
      <c r="G131" s="27" t="s">
        <v>33</v>
      </c>
      <c r="H131" s="27" t="s">
        <v>30</v>
      </c>
      <c r="I131" s="27" t="s">
        <v>534</v>
      </c>
      <c r="J131" s="27" t="s">
        <v>81</v>
      </c>
      <c r="L131">
        <v>1</v>
      </c>
    </row>
    <row r="132" ht="48" spans="1:12">
      <c r="A132" s="25">
        <v>6</v>
      </c>
      <c r="B132" s="25" t="s">
        <v>288</v>
      </c>
      <c r="C132" s="25" t="s">
        <v>150</v>
      </c>
      <c r="D132" s="26" t="s">
        <v>186</v>
      </c>
      <c r="E132" s="27" t="s">
        <v>547</v>
      </c>
      <c r="F132" s="27" t="s">
        <v>188</v>
      </c>
      <c r="G132" s="27" t="s">
        <v>189</v>
      </c>
      <c r="H132" s="27" t="s">
        <v>190</v>
      </c>
      <c r="I132" s="27" t="s">
        <v>172</v>
      </c>
      <c r="J132" s="27" t="s">
        <v>191</v>
      </c>
      <c r="L132">
        <v>1</v>
      </c>
    </row>
    <row r="133" ht="36" spans="1:12">
      <c r="A133" s="28">
        <v>7</v>
      </c>
      <c r="B133" s="28" t="s">
        <v>288</v>
      </c>
      <c r="C133" s="28" t="s">
        <v>150</v>
      </c>
      <c r="D133" s="29" t="s">
        <v>548</v>
      </c>
      <c r="E133" s="30" t="s">
        <v>549</v>
      </c>
      <c r="F133" s="30" t="s">
        <v>550</v>
      </c>
      <c r="G133" s="30" t="s">
        <v>551</v>
      </c>
      <c r="H133" s="30" t="s">
        <v>552</v>
      </c>
      <c r="I133" s="30" t="s">
        <v>178</v>
      </c>
      <c r="J133" s="30" t="s">
        <v>197</v>
      </c>
      <c r="K133" s="23">
        <v>1</v>
      </c>
      <c r="L133">
        <v>2</v>
      </c>
    </row>
    <row r="134" ht="24" spans="1:12">
      <c r="A134" s="25">
        <v>8</v>
      </c>
      <c r="B134" s="25" t="s">
        <v>288</v>
      </c>
      <c r="C134" s="25" t="s">
        <v>150</v>
      </c>
      <c r="D134" s="26" t="s">
        <v>553</v>
      </c>
      <c r="E134" s="27" t="s">
        <v>554</v>
      </c>
      <c r="F134" s="27" t="s">
        <v>555</v>
      </c>
      <c r="G134" s="27" t="s">
        <v>556</v>
      </c>
      <c r="H134" s="27" t="s">
        <v>557</v>
      </c>
      <c r="I134" s="27" t="s">
        <v>178</v>
      </c>
      <c r="J134" s="27" t="s">
        <v>101</v>
      </c>
      <c r="K134" s="23">
        <v>1</v>
      </c>
      <c r="L134">
        <v>2</v>
      </c>
    </row>
    <row r="135" ht="36" spans="1:10">
      <c r="A135" s="25">
        <v>9</v>
      </c>
      <c r="B135" s="25" t="s">
        <v>288</v>
      </c>
      <c r="C135" s="25" t="s">
        <v>150</v>
      </c>
      <c r="D135" s="26" t="s">
        <v>558</v>
      </c>
      <c r="E135" s="27" t="s">
        <v>559</v>
      </c>
      <c r="F135" s="27" t="s">
        <v>560</v>
      </c>
      <c r="G135" s="27" t="s">
        <v>561</v>
      </c>
      <c r="H135" s="27" t="s">
        <v>562</v>
      </c>
      <c r="I135" s="27" t="s">
        <v>178</v>
      </c>
      <c r="J135" s="27" t="s">
        <v>563</v>
      </c>
    </row>
    <row r="136" ht="24" spans="1:10">
      <c r="A136" s="25">
        <v>10</v>
      </c>
      <c r="B136" s="25" t="s">
        <v>288</v>
      </c>
      <c r="C136" s="25" t="s">
        <v>150</v>
      </c>
      <c r="D136" s="26" t="s">
        <v>564</v>
      </c>
      <c r="E136" s="27" t="s">
        <v>565</v>
      </c>
      <c r="F136" s="27" t="s">
        <v>73</v>
      </c>
      <c r="G136" s="27" t="s">
        <v>566</v>
      </c>
      <c r="H136" s="27" t="s">
        <v>567</v>
      </c>
      <c r="I136" s="27" t="s">
        <v>534</v>
      </c>
      <c r="J136" s="27" t="s">
        <v>568</v>
      </c>
    </row>
    <row r="137" ht="36" spans="1:10">
      <c r="A137" s="25">
        <v>11</v>
      </c>
      <c r="B137" s="25" t="s">
        <v>288</v>
      </c>
      <c r="C137" s="25" t="s">
        <v>150</v>
      </c>
      <c r="D137" s="26" t="s">
        <v>569</v>
      </c>
      <c r="E137" s="27" t="s">
        <v>570</v>
      </c>
      <c r="F137" s="27" t="s">
        <v>571</v>
      </c>
      <c r="G137" s="27" t="s">
        <v>572</v>
      </c>
      <c r="H137" s="27" t="s">
        <v>573</v>
      </c>
      <c r="I137" s="27" t="s">
        <v>178</v>
      </c>
      <c r="J137" s="27" t="s">
        <v>574</v>
      </c>
    </row>
    <row r="138" ht="24" spans="1:10">
      <c r="A138" s="25">
        <v>12</v>
      </c>
      <c r="B138" s="25" t="s">
        <v>288</v>
      </c>
      <c r="C138" s="25" t="s">
        <v>150</v>
      </c>
      <c r="D138" s="26" t="s">
        <v>575</v>
      </c>
      <c r="E138" s="27" t="s">
        <v>541</v>
      </c>
      <c r="F138" s="27" t="s">
        <v>542</v>
      </c>
      <c r="G138" s="27" t="s">
        <v>477</v>
      </c>
      <c r="H138" s="27" t="s">
        <v>576</v>
      </c>
      <c r="I138" s="27" t="s">
        <v>178</v>
      </c>
      <c r="J138" s="27" t="s">
        <v>577</v>
      </c>
    </row>
    <row r="139" ht="72" spans="1:10">
      <c r="A139" s="25">
        <v>13</v>
      </c>
      <c r="B139" s="25" t="s">
        <v>288</v>
      </c>
      <c r="C139" s="25" t="s">
        <v>150</v>
      </c>
      <c r="D139" s="26" t="s">
        <v>578</v>
      </c>
      <c r="E139" s="27" t="s">
        <v>579</v>
      </c>
      <c r="F139" s="27" t="s">
        <v>580</v>
      </c>
      <c r="G139" s="27" t="s">
        <v>581</v>
      </c>
      <c r="H139" s="27" t="s">
        <v>582</v>
      </c>
      <c r="I139" s="27" t="s">
        <v>178</v>
      </c>
      <c r="J139" s="27" t="s">
        <v>583</v>
      </c>
    </row>
    <row r="140" ht="60" spans="1:10">
      <c r="A140" s="25">
        <v>14</v>
      </c>
      <c r="B140" s="25" t="s">
        <v>288</v>
      </c>
      <c r="C140" s="25" t="s">
        <v>150</v>
      </c>
      <c r="D140" s="26" t="s">
        <v>584</v>
      </c>
      <c r="E140" s="27" t="s">
        <v>585</v>
      </c>
      <c r="F140" s="27" t="s">
        <v>586</v>
      </c>
      <c r="G140" s="27" t="s">
        <v>587</v>
      </c>
      <c r="H140" s="27" t="s">
        <v>588</v>
      </c>
      <c r="I140" s="27" t="s">
        <v>153</v>
      </c>
      <c r="J140" s="27" t="s">
        <v>589</v>
      </c>
    </row>
    <row r="141" ht="84" spans="1:10">
      <c r="A141" s="25">
        <v>15</v>
      </c>
      <c r="B141" s="25" t="s">
        <v>288</v>
      </c>
      <c r="C141" s="25" t="s">
        <v>150</v>
      </c>
      <c r="D141" s="26" t="s">
        <v>590</v>
      </c>
      <c r="E141" s="27" t="s">
        <v>591</v>
      </c>
      <c r="F141" s="27" t="s">
        <v>462</v>
      </c>
      <c r="G141" s="27" t="s">
        <v>592</v>
      </c>
      <c r="H141" s="27" t="s">
        <v>593</v>
      </c>
      <c r="I141" s="27" t="s">
        <v>178</v>
      </c>
      <c r="J141" s="27" t="s">
        <v>383</v>
      </c>
    </row>
    <row r="142" ht="36" spans="1:10">
      <c r="A142" s="25">
        <v>16</v>
      </c>
      <c r="B142" s="25" t="s">
        <v>288</v>
      </c>
      <c r="C142" s="25" t="s">
        <v>150</v>
      </c>
      <c r="D142" s="26" t="s">
        <v>594</v>
      </c>
      <c r="E142" s="27" t="s">
        <v>595</v>
      </c>
      <c r="F142" s="27" t="s">
        <v>596</v>
      </c>
      <c r="G142" s="27" t="s">
        <v>597</v>
      </c>
      <c r="H142" s="27" t="s">
        <v>598</v>
      </c>
      <c r="I142" s="27" t="s">
        <v>178</v>
      </c>
      <c r="J142" s="27" t="s">
        <v>599</v>
      </c>
    </row>
    <row r="143" ht="24" spans="1:10">
      <c r="A143" s="25">
        <v>17</v>
      </c>
      <c r="B143" s="25" t="s">
        <v>288</v>
      </c>
      <c r="C143" s="25" t="s">
        <v>150</v>
      </c>
      <c r="D143" s="26" t="s">
        <v>600</v>
      </c>
      <c r="E143" s="27" t="s">
        <v>601</v>
      </c>
      <c r="F143" s="27" t="s">
        <v>602</v>
      </c>
      <c r="G143" s="27" t="s">
        <v>603</v>
      </c>
      <c r="H143" s="27" t="s">
        <v>604</v>
      </c>
      <c r="I143" s="27" t="s">
        <v>172</v>
      </c>
      <c r="J143" s="27" t="s">
        <v>605</v>
      </c>
    </row>
    <row r="144" ht="36" spans="1:10">
      <c r="A144" s="25">
        <v>18</v>
      </c>
      <c r="B144" s="25" t="s">
        <v>288</v>
      </c>
      <c r="C144" s="25" t="s">
        <v>150</v>
      </c>
      <c r="D144" s="26" t="s">
        <v>606</v>
      </c>
      <c r="E144" s="27" t="s">
        <v>607</v>
      </c>
      <c r="F144" s="27" t="s">
        <v>608</v>
      </c>
      <c r="G144" s="27" t="s">
        <v>609</v>
      </c>
      <c r="H144" s="27" t="s">
        <v>610</v>
      </c>
      <c r="I144" s="27" t="s">
        <v>178</v>
      </c>
      <c r="J144" s="27" t="s">
        <v>611</v>
      </c>
    </row>
    <row r="145" ht="36" spans="1:10">
      <c r="A145" s="25">
        <v>19</v>
      </c>
      <c r="B145" s="25" t="s">
        <v>288</v>
      </c>
      <c r="C145" s="25" t="s">
        <v>150</v>
      </c>
      <c r="D145" s="26" t="s">
        <v>612</v>
      </c>
      <c r="E145" s="27" t="s">
        <v>613</v>
      </c>
      <c r="F145" s="27" t="s">
        <v>614</v>
      </c>
      <c r="G145" s="27" t="s">
        <v>615</v>
      </c>
      <c r="H145" s="27" t="s">
        <v>541</v>
      </c>
      <c r="I145" s="27" t="s">
        <v>616</v>
      </c>
      <c r="J145" s="27" t="s">
        <v>617</v>
      </c>
    </row>
    <row r="146" ht="48" spans="1:10">
      <c r="A146" s="25">
        <v>20</v>
      </c>
      <c r="B146" s="25" t="s">
        <v>288</v>
      </c>
      <c r="C146" s="25" t="s">
        <v>150</v>
      </c>
      <c r="D146" s="26" t="s">
        <v>618</v>
      </c>
      <c r="E146" s="27" t="s">
        <v>619</v>
      </c>
      <c r="F146" s="27" t="s">
        <v>620</v>
      </c>
      <c r="G146" s="27" t="s">
        <v>621</v>
      </c>
      <c r="H146" s="27" t="s">
        <v>622</v>
      </c>
      <c r="I146" s="27" t="s">
        <v>178</v>
      </c>
      <c r="J146" s="27" t="s">
        <v>432</v>
      </c>
    </row>
    <row r="147" spans="1:10">
      <c r="A147" s="25">
        <v>21</v>
      </c>
      <c r="B147" s="25" t="s">
        <v>288</v>
      </c>
      <c r="C147" s="25" t="s">
        <v>150</v>
      </c>
      <c r="D147" s="26" t="s">
        <v>623</v>
      </c>
      <c r="E147" s="27" t="s">
        <v>624</v>
      </c>
      <c r="F147" s="27" t="s">
        <v>625</v>
      </c>
      <c r="G147" s="27" t="s">
        <v>626</v>
      </c>
      <c r="H147" s="27" t="s">
        <v>350</v>
      </c>
      <c r="I147" s="27" t="s">
        <v>153</v>
      </c>
      <c r="J147" s="27" t="s">
        <v>627</v>
      </c>
    </row>
    <row r="148" ht="24" spans="1:10">
      <c r="A148" s="25">
        <v>22</v>
      </c>
      <c r="B148" s="25" t="s">
        <v>288</v>
      </c>
      <c r="C148" s="25" t="s">
        <v>150</v>
      </c>
      <c r="D148" s="26" t="s">
        <v>628</v>
      </c>
      <c r="E148" s="27" t="s">
        <v>629</v>
      </c>
      <c r="F148" s="27" t="s">
        <v>630</v>
      </c>
      <c r="G148" s="27" t="s">
        <v>631</v>
      </c>
      <c r="H148" s="27" t="s">
        <v>632</v>
      </c>
      <c r="I148" s="27" t="s">
        <v>203</v>
      </c>
      <c r="J148" s="27" t="s">
        <v>633</v>
      </c>
    </row>
    <row r="149" ht="24" spans="1:10">
      <c r="A149" s="25">
        <v>23</v>
      </c>
      <c r="B149" s="25" t="s">
        <v>288</v>
      </c>
      <c r="C149" s="25" t="s">
        <v>150</v>
      </c>
      <c r="D149" s="26" t="s">
        <v>634</v>
      </c>
      <c r="E149" s="27" t="s">
        <v>635</v>
      </c>
      <c r="F149" s="27" t="s">
        <v>636</v>
      </c>
      <c r="G149" s="27" t="s">
        <v>637</v>
      </c>
      <c r="H149" s="27" t="s">
        <v>638</v>
      </c>
      <c r="I149" s="27" t="s">
        <v>153</v>
      </c>
      <c r="J149" s="27" t="s">
        <v>472</v>
      </c>
    </row>
    <row r="150" spans="1:10">
      <c r="A150" s="25">
        <v>24</v>
      </c>
      <c r="B150" s="25" t="s">
        <v>288</v>
      </c>
      <c r="C150" s="25" t="s">
        <v>150</v>
      </c>
      <c r="D150" s="26" t="s">
        <v>639</v>
      </c>
      <c r="E150" s="27" t="s">
        <v>640</v>
      </c>
      <c r="F150" s="27" t="s">
        <v>641</v>
      </c>
      <c r="G150" s="27" t="s">
        <v>642</v>
      </c>
      <c r="H150" s="27" t="s">
        <v>643</v>
      </c>
      <c r="I150" s="27" t="s">
        <v>178</v>
      </c>
      <c r="J150" s="27" t="s">
        <v>644</v>
      </c>
    </row>
    <row r="151" ht="24" spans="1:10">
      <c r="A151" s="25">
        <v>25</v>
      </c>
      <c r="B151" s="25" t="s">
        <v>288</v>
      </c>
      <c r="C151" s="25" t="s">
        <v>150</v>
      </c>
      <c r="D151" s="26" t="s">
        <v>645</v>
      </c>
      <c r="E151" s="27" t="s">
        <v>646</v>
      </c>
      <c r="F151" s="27" t="s">
        <v>647</v>
      </c>
      <c r="G151" s="27" t="s">
        <v>648</v>
      </c>
      <c r="H151" s="27" t="s">
        <v>649</v>
      </c>
      <c r="I151" s="27" t="s">
        <v>153</v>
      </c>
      <c r="J151" s="27" t="s">
        <v>650</v>
      </c>
    </row>
    <row r="152" ht="24" spans="1:10">
      <c r="A152" s="25">
        <v>26</v>
      </c>
      <c r="B152" s="25" t="s">
        <v>288</v>
      </c>
      <c r="C152" s="25" t="s">
        <v>150</v>
      </c>
      <c r="D152" s="26" t="s">
        <v>651</v>
      </c>
      <c r="E152" s="27" t="s">
        <v>652</v>
      </c>
      <c r="F152" s="27" t="s">
        <v>653</v>
      </c>
      <c r="G152" s="27" t="s">
        <v>654</v>
      </c>
      <c r="H152" s="27" t="s">
        <v>655</v>
      </c>
      <c r="I152" s="27" t="s">
        <v>178</v>
      </c>
      <c r="J152" s="27" t="s">
        <v>656</v>
      </c>
    </row>
    <row r="153" ht="72" spans="1:10">
      <c r="A153" s="25">
        <v>27</v>
      </c>
      <c r="B153" s="25" t="s">
        <v>288</v>
      </c>
      <c r="C153" s="25" t="s">
        <v>150</v>
      </c>
      <c r="D153" s="26" t="s">
        <v>657</v>
      </c>
      <c r="E153" s="27" t="s">
        <v>658</v>
      </c>
      <c r="F153" s="27" t="s">
        <v>659</v>
      </c>
      <c r="G153" s="27" t="s">
        <v>660</v>
      </c>
      <c r="H153" s="27" t="s">
        <v>661</v>
      </c>
      <c r="I153" s="27" t="s">
        <v>153</v>
      </c>
      <c r="J153" s="27" t="s">
        <v>662</v>
      </c>
    </row>
    <row r="154" ht="48" spans="1:10">
      <c r="A154" s="25">
        <v>28</v>
      </c>
      <c r="B154" s="25" t="s">
        <v>288</v>
      </c>
      <c r="C154" s="25" t="s">
        <v>150</v>
      </c>
      <c r="D154" s="26" t="s">
        <v>663</v>
      </c>
      <c r="E154" s="27" t="s">
        <v>542</v>
      </c>
      <c r="F154" s="27" t="s">
        <v>664</v>
      </c>
      <c r="G154" s="27" t="s">
        <v>665</v>
      </c>
      <c r="H154" s="27" t="s">
        <v>323</v>
      </c>
      <c r="I154" s="27" t="s">
        <v>153</v>
      </c>
      <c r="J154" s="27" t="s">
        <v>666</v>
      </c>
    </row>
    <row r="155" ht="60" spans="1:10">
      <c r="A155" s="25">
        <v>29</v>
      </c>
      <c r="B155" s="25" t="s">
        <v>288</v>
      </c>
      <c r="C155" s="25" t="s">
        <v>150</v>
      </c>
      <c r="D155" s="26" t="s">
        <v>667</v>
      </c>
      <c r="E155" s="27" t="s">
        <v>28</v>
      </c>
      <c r="F155" s="27" t="s">
        <v>668</v>
      </c>
      <c r="G155" s="27" t="s">
        <v>669</v>
      </c>
      <c r="H155" s="27" t="s">
        <v>670</v>
      </c>
      <c r="I155" s="27" t="s">
        <v>233</v>
      </c>
      <c r="J155" s="27" t="s">
        <v>671</v>
      </c>
    </row>
    <row r="156" ht="36" spans="1:10">
      <c r="A156" s="25">
        <v>1</v>
      </c>
      <c r="B156" s="25" t="s">
        <v>288</v>
      </c>
      <c r="C156" s="25" t="s">
        <v>254</v>
      </c>
      <c r="D156" s="26" t="s">
        <v>672</v>
      </c>
      <c r="E156" s="27" t="s">
        <v>256</v>
      </c>
      <c r="F156" s="27" t="s">
        <v>257</v>
      </c>
      <c r="G156" s="27"/>
      <c r="H156" s="27"/>
      <c r="I156" s="27" t="s">
        <v>5</v>
      </c>
      <c r="J156" s="27" t="s">
        <v>312</v>
      </c>
    </row>
    <row r="157" ht="36" spans="1:10">
      <c r="A157" s="25">
        <v>2</v>
      </c>
      <c r="B157" s="25" t="s">
        <v>288</v>
      </c>
      <c r="C157" s="25" t="s">
        <v>254</v>
      </c>
      <c r="D157" s="26" t="s">
        <v>673</v>
      </c>
      <c r="E157" s="27" t="s">
        <v>256</v>
      </c>
      <c r="F157" s="27" t="s">
        <v>257</v>
      </c>
      <c r="G157" s="27"/>
      <c r="H157" s="27"/>
      <c r="I157" s="27" t="s">
        <v>5</v>
      </c>
      <c r="J157" s="27" t="s">
        <v>317</v>
      </c>
    </row>
    <row r="158" ht="48" spans="1:10">
      <c r="A158" s="25">
        <v>3</v>
      </c>
      <c r="B158" s="25" t="s">
        <v>288</v>
      </c>
      <c r="C158" s="25" t="s">
        <v>254</v>
      </c>
      <c r="D158" s="26" t="s">
        <v>674</v>
      </c>
      <c r="E158" s="27" t="s">
        <v>256</v>
      </c>
      <c r="F158" s="27" t="s">
        <v>257</v>
      </c>
      <c r="G158" s="27"/>
      <c r="H158" s="27"/>
      <c r="I158" s="27" t="s">
        <v>6</v>
      </c>
      <c r="J158" s="27" t="s">
        <v>331</v>
      </c>
    </row>
    <row r="159" ht="36" spans="1:10">
      <c r="A159" s="25">
        <v>4</v>
      </c>
      <c r="B159" s="25" t="s">
        <v>288</v>
      </c>
      <c r="C159" s="25" t="s">
        <v>254</v>
      </c>
      <c r="D159" s="26" t="s">
        <v>675</v>
      </c>
      <c r="E159" s="27" t="s">
        <v>256</v>
      </c>
      <c r="F159" s="27" t="s">
        <v>257</v>
      </c>
      <c r="G159" s="27"/>
      <c r="H159" s="27"/>
      <c r="I159" s="27" t="s">
        <v>5</v>
      </c>
      <c r="J159" s="27" t="s">
        <v>676</v>
      </c>
    </row>
    <row r="160" ht="24" spans="1:10">
      <c r="A160" s="25">
        <v>5</v>
      </c>
      <c r="B160" s="25" t="s">
        <v>288</v>
      </c>
      <c r="C160" s="25" t="s">
        <v>254</v>
      </c>
      <c r="D160" s="26" t="s">
        <v>677</v>
      </c>
      <c r="E160" s="27" t="s">
        <v>256</v>
      </c>
      <c r="F160" s="27" t="s">
        <v>257</v>
      </c>
      <c r="G160" s="27"/>
      <c r="H160" s="27"/>
      <c r="I160" s="27" t="s">
        <v>6</v>
      </c>
      <c r="J160" s="27" t="s">
        <v>357</v>
      </c>
    </row>
    <row r="161" ht="36" spans="1:10">
      <c r="A161" s="25">
        <v>6</v>
      </c>
      <c r="B161" s="25" t="s">
        <v>288</v>
      </c>
      <c r="C161" s="25" t="s">
        <v>254</v>
      </c>
      <c r="D161" s="26" t="s">
        <v>678</v>
      </c>
      <c r="E161" s="27" t="s">
        <v>256</v>
      </c>
      <c r="F161" s="27" t="s">
        <v>257</v>
      </c>
      <c r="G161" s="27"/>
      <c r="H161" s="27"/>
      <c r="I161" s="27" t="s">
        <v>5</v>
      </c>
      <c r="J161" s="27" t="s">
        <v>679</v>
      </c>
    </row>
    <row r="162" ht="24" spans="1:10">
      <c r="A162" s="25">
        <v>7</v>
      </c>
      <c r="B162" s="25" t="s">
        <v>288</v>
      </c>
      <c r="C162" s="25" t="s">
        <v>254</v>
      </c>
      <c r="D162" s="26" t="s">
        <v>680</v>
      </c>
      <c r="E162" s="27" t="s">
        <v>256</v>
      </c>
      <c r="F162" s="27" t="s">
        <v>257</v>
      </c>
      <c r="G162" s="27"/>
      <c r="H162" s="27"/>
      <c r="I162" s="27" t="s">
        <v>6</v>
      </c>
      <c r="J162" s="27" t="s">
        <v>681</v>
      </c>
    </row>
    <row r="163" ht="24" spans="1:10">
      <c r="A163" s="25">
        <v>8</v>
      </c>
      <c r="B163" s="25" t="s">
        <v>288</v>
      </c>
      <c r="C163" s="25" t="s">
        <v>254</v>
      </c>
      <c r="D163" s="26" t="s">
        <v>682</v>
      </c>
      <c r="E163" s="27" t="s">
        <v>256</v>
      </c>
      <c r="F163" s="27" t="s">
        <v>257</v>
      </c>
      <c r="G163" s="27"/>
      <c r="H163" s="27"/>
      <c r="I163" s="27" t="s">
        <v>5</v>
      </c>
      <c r="J163" s="27" t="s">
        <v>683</v>
      </c>
    </row>
    <row r="164" ht="24" spans="1:10">
      <c r="A164" s="25">
        <v>9</v>
      </c>
      <c r="B164" s="25" t="s">
        <v>288</v>
      </c>
      <c r="C164" s="25" t="s">
        <v>254</v>
      </c>
      <c r="D164" s="26" t="s">
        <v>684</v>
      </c>
      <c r="E164" s="27" t="s">
        <v>256</v>
      </c>
      <c r="F164" s="27" t="s">
        <v>257</v>
      </c>
      <c r="G164" s="27"/>
      <c r="H164" s="27"/>
      <c r="I164" s="27" t="s">
        <v>5</v>
      </c>
      <c r="J164" s="27" t="s">
        <v>387</v>
      </c>
    </row>
    <row r="165" ht="24" spans="1:10">
      <c r="A165" s="25">
        <v>10</v>
      </c>
      <c r="B165" s="25" t="s">
        <v>288</v>
      </c>
      <c r="C165" s="25" t="s">
        <v>254</v>
      </c>
      <c r="D165" s="26" t="s">
        <v>685</v>
      </c>
      <c r="E165" s="27" t="s">
        <v>256</v>
      </c>
      <c r="F165" s="27" t="s">
        <v>257</v>
      </c>
      <c r="G165" s="27"/>
      <c r="H165" s="27"/>
      <c r="I165" s="27" t="s">
        <v>6</v>
      </c>
      <c r="J165" s="27" t="s">
        <v>686</v>
      </c>
    </row>
    <row r="166" ht="24" spans="1:10">
      <c r="A166" s="25">
        <v>11</v>
      </c>
      <c r="B166" s="25" t="s">
        <v>288</v>
      </c>
      <c r="C166" s="25" t="s">
        <v>254</v>
      </c>
      <c r="D166" s="26" t="s">
        <v>687</v>
      </c>
      <c r="E166" s="27" t="s">
        <v>256</v>
      </c>
      <c r="F166" s="27" t="s">
        <v>257</v>
      </c>
      <c r="G166" s="27"/>
      <c r="H166" s="27"/>
      <c r="I166" s="27" t="s">
        <v>5</v>
      </c>
      <c r="J166" s="27" t="s">
        <v>688</v>
      </c>
    </row>
    <row r="167" spans="1:10">
      <c r="A167" s="25">
        <v>12</v>
      </c>
      <c r="B167" s="25" t="s">
        <v>288</v>
      </c>
      <c r="C167" s="25" t="s">
        <v>254</v>
      </c>
      <c r="D167" s="26" t="s">
        <v>689</v>
      </c>
      <c r="E167" s="27" t="s">
        <v>256</v>
      </c>
      <c r="F167" s="27" t="s">
        <v>257</v>
      </c>
      <c r="G167" s="27"/>
      <c r="H167" s="27"/>
      <c r="I167" s="27" t="s">
        <v>5</v>
      </c>
      <c r="J167" s="27" t="s">
        <v>611</v>
      </c>
    </row>
    <row r="168" spans="1:10">
      <c r="A168" s="25">
        <v>13</v>
      </c>
      <c r="B168" s="25" t="s">
        <v>288</v>
      </c>
      <c r="C168" s="25" t="s">
        <v>254</v>
      </c>
      <c r="D168" s="26" t="s">
        <v>690</v>
      </c>
      <c r="E168" s="27" t="s">
        <v>256</v>
      </c>
      <c r="F168" s="27" t="s">
        <v>257</v>
      </c>
      <c r="G168" s="27"/>
      <c r="H168" s="27"/>
      <c r="I168" s="27" t="s">
        <v>5</v>
      </c>
      <c r="J168" s="27" t="s">
        <v>432</v>
      </c>
    </row>
    <row r="169" spans="1:10">
      <c r="A169" s="25">
        <v>14</v>
      </c>
      <c r="B169" s="25" t="s">
        <v>288</v>
      </c>
      <c r="C169" s="25" t="s">
        <v>254</v>
      </c>
      <c r="D169" s="26" t="s">
        <v>691</v>
      </c>
      <c r="E169" s="27" t="s">
        <v>256</v>
      </c>
      <c r="F169" s="27" t="s">
        <v>257</v>
      </c>
      <c r="G169" s="27"/>
      <c r="H169" s="27"/>
      <c r="I169" s="27" t="s">
        <v>5</v>
      </c>
      <c r="J169" s="27" t="s">
        <v>692</v>
      </c>
    </row>
    <row r="170" ht="24" spans="1:10">
      <c r="A170" s="25">
        <v>15</v>
      </c>
      <c r="B170" s="25" t="s">
        <v>288</v>
      </c>
      <c r="C170" s="25" t="s">
        <v>254</v>
      </c>
      <c r="D170" s="26" t="s">
        <v>693</v>
      </c>
      <c r="E170" s="27" t="s">
        <v>256</v>
      </c>
      <c r="F170" s="27" t="s">
        <v>257</v>
      </c>
      <c r="G170" s="27"/>
      <c r="H170" s="27"/>
      <c r="I170" s="27" t="s">
        <v>5</v>
      </c>
      <c r="J170" s="27" t="s">
        <v>694</v>
      </c>
    </row>
    <row r="171" ht="24" spans="1:10">
      <c r="A171" s="25">
        <v>16</v>
      </c>
      <c r="B171" s="25" t="s">
        <v>288</v>
      </c>
      <c r="C171" s="25" t="s">
        <v>254</v>
      </c>
      <c r="D171" s="26" t="s">
        <v>695</v>
      </c>
      <c r="E171" s="27" t="s">
        <v>256</v>
      </c>
      <c r="F171" s="27" t="s">
        <v>257</v>
      </c>
      <c r="G171" s="27"/>
      <c r="H171" s="27"/>
      <c r="I171" s="27" t="s">
        <v>6</v>
      </c>
      <c r="J171" s="27" t="s">
        <v>696</v>
      </c>
    </row>
    <row r="172" ht="36" spans="1:10">
      <c r="A172" s="25">
        <v>17</v>
      </c>
      <c r="B172" s="25" t="s">
        <v>288</v>
      </c>
      <c r="C172" s="25" t="s">
        <v>254</v>
      </c>
      <c r="D172" s="26" t="s">
        <v>697</v>
      </c>
      <c r="E172" s="27" t="s">
        <v>256</v>
      </c>
      <c r="F172" s="27" t="s">
        <v>257</v>
      </c>
      <c r="G172" s="27"/>
      <c r="H172" s="27"/>
      <c r="I172" s="27" t="s">
        <v>5</v>
      </c>
      <c r="J172" s="27" t="s">
        <v>283</v>
      </c>
    </row>
    <row r="173" ht="24" spans="1:10">
      <c r="A173" s="25">
        <v>18</v>
      </c>
      <c r="B173" s="25" t="s">
        <v>288</v>
      </c>
      <c r="C173" s="25" t="s">
        <v>254</v>
      </c>
      <c r="D173" s="26" t="s">
        <v>698</v>
      </c>
      <c r="E173" s="27" t="s">
        <v>256</v>
      </c>
      <c r="F173" s="27" t="s">
        <v>257</v>
      </c>
      <c r="G173" s="27"/>
      <c r="H173" s="27"/>
      <c r="I173" s="27" t="s">
        <v>5</v>
      </c>
      <c r="J173" s="27" t="s">
        <v>699</v>
      </c>
    </row>
    <row r="174" ht="24" spans="1:10">
      <c r="A174" s="25">
        <v>19</v>
      </c>
      <c r="B174" s="25" t="s">
        <v>288</v>
      </c>
      <c r="C174" s="25" t="s">
        <v>254</v>
      </c>
      <c r="D174" s="26" t="s">
        <v>700</v>
      </c>
      <c r="E174" s="27" t="s">
        <v>256</v>
      </c>
      <c r="F174" s="27" t="s">
        <v>257</v>
      </c>
      <c r="G174" s="27"/>
      <c r="H174" s="27"/>
      <c r="I174" s="27" t="s">
        <v>5</v>
      </c>
      <c r="J174" s="27" t="s">
        <v>701</v>
      </c>
    </row>
    <row r="175" ht="36" spans="1:10">
      <c r="A175" s="25">
        <v>20</v>
      </c>
      <c r="B175" s="25" t="s">
        <v>288</v>
      </c>
      <c r="C175" s="25" t="s">
        <v>254</v>
      </c>
      <c r="D175" s="26" t="s">
        <v>702</v>
      </c>
      <c r="E175" s="27" t="s">
        <v>256</v>
      </c>
      <c r="F175" s="27" t="s">
        <v>257</v>
      </c>
      <c r="G175" s="27"/>
      <c r="H175" s="27"/>
      <c r="I175" s="27" t="s">
        <v>5</v>
      </c>
      <c r="J175" s="27" t="s">
        <v>703</v>
      </c>
    </row>
    <row r="176" ht="132" spans="1:11">
      <c r="A176" s="31">
        <v>1</v>
      </c>
      <c r="B176" s="25" t="s">
        <v>704</v>
      </c>
      <c r="C176" s="25" t="s">
        <v>14</v>
      </c>
      <c r="D176" s="32" t="s">
        <v>705</v>
      </c>
      <c r="E176" s="27" t="s">
        <v>706</v>
      </c>
      <c r="F176" s="27" t="s">
        <v>707</v>
      </c>
      <c r="G176" s="27" t="s">
        <v>708</v>
      </c>
      <c r="H176" s="27" t="s">
        <v>709</v>
      </c>
      <c r="I176" s="27" t="s">
        <v>7</v>
      </c>
      <c r="J176" s="27"/>
      <c r="K176" s="35"/>
    </row>
    <row r="177" ht="144" spans="1:11">
      <c r="A177" s="31">
        <v>2</v>
      </c>
      <c r="B177" s="25" t="s">
        <v>704</v>
      </c>
      <c r="C177" s="25" t="s">
        <v>14</v>
      </c>
      <c r="D177" s="32" t="s">
        <v>710</v>
      </c>
      <c r="E177" s="27" t="s">
        <v>711</v>
      </c>
      <c r="F177" s="27" t="s">
        <v>712</v>
      </c>
      <c r="G177" s="27" t="s">
        <v>713</v>
      </c>
      <c r="H177" s="27" t="s">
        <v>714</v>
      </c>
      <c r="I177" s="27" t="s">
        <v>5</v>
      </c>
      <c r="J177" s="27"/>
      <c r="K177" s="35"/>
    </row>
    <row r="178" ht="144" spans="1:11">
      <c r="A178" s="31">
        <v>3</v>
      </c>
      <c r="B178" s="25" t="s">
        <v>704</v>
      </c>
      <c r="C178" s="25" t="s">
        <v>14</v>
      </c>
      <c r="D178" s="32" t="s">
        <v>715</v>
      </c>
      <c r="E178" s="27" t="s">
        <v>716</v>
      </c>
      <c r="F178" s="27" t="s">
        <v>717</v>
      </c>
      <c r="G178" s="27" t="s">
        <v>718</v>
      </c>
      <c r="H178" s="27" t="s">
        <v>719</v>
      </c>
      <c r="I178" s="27" t="s">
        <v>6</v>
      </c>
      <c r="J178" s="27"/>
      <c r="K178" s="35"/>
    </row>
    <row r="179" ht="132" spans="1:11">
      <c r="A179" s="31">
        <v>4</v>
      </c>
      <c r="B179" s="25" t="s">
        <v>704</v>
      </c>
      <c r="C179" s="25" t="s">
        <v>14</v>
      </c>
      <c r="D179" s="32" t="s">
        <v>720</v>
      </c>
      <c r="E179" s="27" t="s">
        <v>721</v>
      </c>
      <c r="F179" s="27" t="s">
        <v>604</v>
      </c>
      <c r="G179" s="27" t="s">
        <v>722</v>
      </c>
      <c r="H179" s="27" t="s">
        <v>603</v>
      </c>
      <c r="I179" s="27" t="s">
        <v>7</v>
      </c>
      <c r="J179" s="27"/>
      <c r="K179" s="35"/>
    </row>
    <row r="180" ht="84" spans="1:11">
      <c r="A180" s="31">
        <v>5</v>
      </c>
      <c r="B180" s="25" t="s">
        <v>704</v>
      </c>
      <c r="C180" s="25" t="s">
        <v>14</v>
      </c>
      <c r="D180" s="32" t="s">
        <v>723</v>
      </c>
      <c r="E180" s="27" t="s">
        <v>724</v>
      </c>
      <c r="F180" s="27" t="s">
        <v>725</v>
      </c>
      <c r="G180" s="27" t="s">
        <v>726</v>
      </c>
      <c r="H180" s="27" t="s">
        <v>727</v>
      </c>
      <c r="I180" s="27" t="s">
        <v>6</v>
      </c>
      <c r="J180" s="27"/>
      <c r="K180" s="35"/>
    </row>
    <row r="181" ht="96" spans="1:11">
      <c r="A181" s="31">
        <v>6</v>
      </c>
      <c r="B181" s="25" t="s">
        <v>704</v>
      </c>
      <c r="C181" s="25" t="s">
        <v>14</v>
      </c>
      <c r="D181" s="32" t="s">
        <v>728</v>
      </c>
      <c r="E181" s="27" t="s">
        <v>729</v>
      </c>
      <c r="F181" s="27" t="s">
        <v>730</v>
      </c>
      <c r="G181" s="27" t="s">
        <v>731</v>
      </c>
      <c r="H181" s="27" t="s">
        <v>732</v>
      </c>
      <c r="I181" s="27" t="s">
        <v>5</v>
      </c>
      <c r="J181" s="27"/>
      <c r="K181" s="35"/>
    </row>
    <row r="182" ht="84" spans="1:11">
      <c r="A182" s="31">
        <v>7</v>
      </c>
      <c r="B182" s="25" t="s">
        <v>704</v>
      </c>
      <c r="C182" s="25" t="s">
        <v>14</v>
      </c>
      <c r="D182" s="32" t="s">
        <v>733</v>
      </c>
      <c r="E182" s="27" t="s">
        <v>734</v>
      </c>
      <c r="F182" s="27" t="s">
        <v>735</v>
      </c>
      <c r="G182" s="27" t="s">
        <v>736</v>
      </c>
      <c r="H182" s="27" t="s">
        <v>737</v>
      </c>
      <c r="I182" s="27" t="s">
        <v>7</v>
      </c>
      <c r="J182" s="27"/>
      <c r="K182" s="35"/>
    </row>
    <row r="183" ht="84" spans="1:11">
      <c r="A183" s="31">
        <v>8</v>
      </c>
      <c r="B183" s="25" t="s">
        <v>704</v>
      </c>
      <c r="C183" s="25" t="s">
        <v>14</v>
      </c>
      <c r="D183" s="32" t="s">
        <v>738</v>
      </c>
      <c r="E183" s="27" t="s">
        <v>739</v>
      </c>
      <c r="F183" s="27" t="s">
        <v>740</v>
      </c>
      <c r="G183" s="27" t="s">
        <v>741</v>
      </c>
      <c r="H183" s="27" t="s">
        <v>742</v>
      </c>
      <c r="I183" s="27" t="s">
        <v>5</v>
      </c>
      <c r="J183" s="27"/>
      <c r="K183" s="35"/>
    </row>
    <row r="184" ht="168" spans="1:11">
      <c r="A184" s="31">
        <v>9</v>
      </c>
      <c r="B184" s="25" t="s">
        <v>704</v>
      </c>
      <c r="C184" s="25" t="s">
        <v>14</v>
      </c>
      <c r="D184" s="32" t="s">
        <v>743</v>
      </c>
      <c r="E184" s="27" t="s">
        <v>706</v>
      </c>
      <c r="F184" s="27" t="s">
        <v>707</v>
      </c>
      <c r="G184" s="27" t="s">
        <v>708</v>
      </c>
      <c r="H184" s="27" t="s">
        <v>709</v>
      </c>
      <c r="I184" s="27" t="s">
        <v>7</v>
      </c>
      <c r="J184" s="27"/>
      <c r="K184" s="35"/>
    </row>
    <row r="185" ht="168" spans="1:11">
      <c r="A185" s="31">
        <v>10</v>
      </c>
      <c r="B185" s="25" t="s">
        <v>704</v>
      </c>
      <c r="C185" s="25" t="s">
        <v>14</v>
      </c>
      <c r="D185" s="32" t="s">
        <v>744</v>
      </c>
      <c r="E185" s="27" t="s">
        <v>745</v>
      </c>
      <c r="F185" s="27" t="s">
        <v>746</v>
      </c>
      <c r="G185" s="27" t="s">
        <v>747</v>
      </c>
      <c r="H185" s="27" t="s">
        <v>748</v>
      </c>
      <c r="I185" s="27" t="s">
        <v>8</v>
      </c>
      <c r="J185" s="27"/>
      <c r="K185" s="35"/>
    </row>
    <row r="186" ht="168" spans="1:11">
      <c r="A186" s="31">
        <v>11</v>
      </c>
      <c r="B186" s="25" t="s">
        <v>704</v>
      </c>
      <c r="C186" s="25" t="s">
        <v>14</v>
      </c>
      <c r="D186" s="32" t="s">
        <v>749</v>
      </c>
      <c r="E186" s="27" t="s">
        <v>219</v>
      </c>
      <c r="F186" s="27" t="s">
        <v>220</v>
      </c>
      <c r="G186" s="27" t="s">
        <v>221</v>
      </c>
      <c r="H186" s="27" t="s">
        <v>218</v>
      </c>
      <c r="I186" s="27" t="s">
        <v>8</v>
      </c>
      <c r="J186" s="27"/>
      <c r="K186" s="35"/>
    </row>
    <row r="187" ht="180" spans="1:11">
      <c r="A187" s="31">
        <v>12</v>
      </c>
      <c r="B187" s="25" t="s">
        <v>704</v>
      </c>
      <c r="C187" s="25" t="s">
        <v>14</v>
      </c>
      <c r="D187" s="33" t="s">
        <v>750</v>
      </c>
      <c r="E187" s="34" t="s">
        <v>751</v>
      </c>
      <c r="F187" s="34" t="s">
        <v>752</v>
      </c>
      <c r="G187" s="34" t="s">
        <v>753</v>
      </c>
      <c r="H187" s="34" t="s">
        <v>754</v>
      </c>
      <c r="I187" s="34" t="s">
        <v>7</v>
      </c>
      <c r="J187" s="27"/>
      <c r="K187" s="35"/>
    </row>
    <row r="188" ht="84" spans="1:11">
      <c r="A188" s="31">
        <v>13</v>
      </c>
      <c r="B188" s="25" t="s">
        <v>704</v>
      </c>
      <c r="C188" s="25" t="s">
        <v>14</v>
      </c>
      <c r="D188" s="32" t="s">
        <v>755</v>
      </c>
      <c r="E188" s="27" t="s">
        <v>724</v>
      </c>
      <c r="F188" s="27" t="s">
        <v>725</v>
      </c>
      <c r="G188" s="27" t="s">
        <v>726</v>
      </c>
      <c r="H188" s="27" t="s">
        <v>727</v>
      </c>
      <c r="I188" s="27" t="s">
        <v>6</v>
      </c>
      <c r="J188" s="27"/>
      <c r="K188" s="36"/>
    </row>
    <row r="189" ht="84" spans="1:11">
      <c r="A189" s="31">
        <v>14</v>
      </c>
      <c r="B189" s="25" t="s">
        <v>704</v>
      </c>
      <c r="C189" s="25" t="s">
        <v>14</v>
      </c>
      <c r="D189" s="32" t="s">
        <v>756</v>
      </c>
      <c r="E189" s="27" t="s">
        <v>739</v>
      </c>
      <c r="F189" s="27" t="s">
        <v>740</v>
      </c>
      <c r="G189" s="27" t="s">
        <v>741</v>
      </c>
      <c r="H189" s="27" t="s">
        <v>742</v>
      </c>
      <c r="I189" s="27" t="s">
        <v>5</v>
      </c>
      <c r="J189" s="27"/>
      <c r="K189" s="36"/>
    </row>
    <row r="190" ht="84" spans="1:11">
      <c r="A190" s="31">
        <v>15</v>
      </c>
      <c r="B190" s="25" t="s">
        <v>704</v>
      </c>
      <c r="C190" s="25" t="s">
        <v>150</v>
      </c>
      <c r="D190" s="32" t="s">
        <v>757</v>
      </c>
      <c r="E190" s="28" t="s">
        <v>541</v>
      </c>
      <c r="F190" s="28" t="s">
        <v>542</v>
      </c>
      <c r="G190" s="28" t="s">
        <v>477</v>
      </c>
      <c r="H190" s="28" t="s">
        <v>576</v>
      </c>
      <c r="I190" s="28" t="s">
        <v>178</v>
      </c>
      <c r="J190" s="27"/>
      <c r="K190" s="32"/>
    </row>
    <row r="191" ht="72" spans="1:11">
      <c r="A191" s="31">
        <v>16</v>
      </c>
      <c r="B191" s="25" t="s">
        <v>704</v>
      </c>
      <c r="C191" s="25" t="s">
        <v>14</v>
      </c>
      <c r="D191" s="32" t="s">
        <v>758</v>
      </c>
      <c r="E191" s="27" t="s">
        <v>724</v>
      </c>
      <c r="F191" s="27" t="s">
        <v>725</v>
      </c>
      <c r="G191" s="27" t="s">
        <v>726</v>
      </c>
      <c r="H191" s="27" t="s">
        <v>727</v>
      </c>
      <c r="I191" s="27" t="s">
        <v>6</v>
      </c>
      <c r="J191" s="27"/>
      <c r="K191" s="36"/>
    </row>
    <row r="192" ht="84" spans="1:11">
      <c r="A192" s="31">
        <v>17</v>
      </c>
      <c r="B192" s="25" t="s">
        <v>704</v>
      </c>
      <c r="C192" s="25" t="s">
        <v>14</v>
      </c>
      <c r="D192" s="32" t="s">
        <v>759</v>
      </c>
      <c r="E192" s="28" t="s">
        <v>56</v>
      </c>
      <c r="F192" s="28" t="s">
        <v>319</v>
      </c>
      <c r="G192" s="28" t="s">
        <v>320</v>
      </c>
      <c r="H192" s="28" t="s">
        <v>760</v>
      </c>
      <c r="I192" s="28" t="s">
        <v>7</v>
      </c>
      <c r="J192" s="27"/>
      <c r="K192" s="32"/>
    </row>
    <row r="193" ht="96" spans="1:11">
      <c r="A193" s="31">
        <v>18</v>
      </c>
      <c r="B193" s="25" t="s">
        <v>704</v>
      </c>
      <c r="C193" s="25" t="s">
        <v>14</v>
      </c>
      <c r="D193" s="32" t="s">
        <v>761</v>
      </c>
      <c r="E193" s="37">
        <v>1</v>
      </c>
      <c r="F193" s="37">
        <v>2</v>
      </c>
      <c r="G193" s="37">
        <v>3</v>
      </c>
      <c r="H193" s="37">
        <v>4</v>
      </c>
      <c r="I193" s="37" t="s">
        <v>5</v>
      </c>
      <c r="J193" s="27"/>
      <c r="K193" s="32"/>
    </row>
  </sheetData>
  <mergeCells count="1">
    <mergeCell ref="A1:J1"/>
  </mergeCells>
  <pageMargins left="0.75" right="0.75" top="1" bottom="1" header="0.5" footer="0.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H5"/>
  <sheetViews>
    <sheetView tabSelected="1" zoomScale="168" zoomScaleNormal="168" workbookViewId="0">
      <selection activeCell="G5" sqref="G5"/>
    </sheetView>
  </sheetViews>
  <sheetFormatPr defaultColWidth="9" defaultRowHeight="14.4" outlineLevelRow="4" outlineLevelCol="7"/>
  <cols>
    <col min="1" max="1" width="9" style="1" customWidth="1"/>
    <col min="2" max="5" width="22.6759259259259" style="1" customWidth="1"/>
    <col min="6" max="16384" width="9" style="1"/>
  </cols>
  <sheetData>
    <row r="1" spans="1:7">
      <c r="A1" s="2">
        <v>3</v>
      </c>
      <c r="B1" s="2" t="s">
        <v>762</v>
      </c>
      <c r="C1" s="3"/>
      <c r="D1" s="3"/>
      <c r="E1" s="3"/>
      <c r="F1" s="3"/>
      <c r="G1" s="4"/>
    </row>
    <row r="2" ht="17.4" spans="1:7">
      <c r="A2" s="2">
        <v>132</v>
      </c>
      <c r="B2" s="3" t="s">
        <v>763</v>
      </c>
      <c r="C2" s="5" t="str">
        <f ca="1">INDIRECT(B1&amp;"!C"&amp;(A1+A2))</f>
        <v>多选题</v>
      </c>
      <c r="D2" s="3"/>
      <c r="E2" s="6"/>
      <c r="F2" s="7" t="s">
        <v>9</v>
      </c>
      <c r="G2" s="4"/>
    </row>
    <row r="3" ht="71" customHeight="1" spans="1:7">
      <c r="A3" s="8" t="str">
        <f ca="1">C2</f>
        <v>多选题</v>
      </c>
      <c r="B3" s="9" t="str">
        <f ca="1">INDIRECT(B1&amp;"!D"&amp;(A1+A2))</f>
        <v>工作班人员应具有较强的安全意识、相应的安全技能及必要的作业技能；清楚并掌握（   ）。</v>
      </c>
      <c r="C3" s="9"/>
      <c r="D3" s="9"/>
      <c r="E3" s="10"/>
      <c r="F3" s="7" t="str">
        <f ca="1">INDIRECT(B1&amp;"!I"&amp;(A1+A2))</f>
        <v>ABCD</v>
      </c>
      <c r="G3" s="11" t="s">
        <v>764</v>
      </c>
    </row>
    <row r="4" ht="25" customHeight="1" spans="1:7">
      <c r="A4" s="3"/>
      <c r="B4" s="12" t="s">
        <v>765</v>
      </c>
      <c r="C4" s="12" t="s">
        <v>766</v>
      </c>
      <c r="D4" s="12" t="s">
        <v>767</v>
      </c>
      <c r="E4" s="12" t="s">
        <v>768</v>
      </c>
      <c r="F4" s="3"/>
      <c r="G4" s="13"/>
    </row>
    <row r="5" ht="150" customHeight="1" spans="1:8">
      <c r="A5" s="3"/>
      <c r="B5" s="14" t="str">
        <f ca="1">INDIRECT(B1&amp;"!E"&amp;(A1+A2))</f>
        <v>工作任务和内容</v>
      </c>
      <c r="C5" s="14" t="str">
        <f ca="1">INDIRECT(B1&amp;"!F"&amp;(A1+A2))</f>
        <v>工作地点</v>
      </c>
      <c r="D5" s="14" t="str">
        <f ca="1">INDIRECT(B1&amp;"!G"&amp;(A1+A2))</f>
        <v>危险点</v>
      </c>
      <c r="E5" s="14" t="str">
        <f ca="1">INDIRECT(B1&amp;"!H"&amp;(A1+A2))</f>
        <v>存在的安全风险及应采取的控制措施</v>
      </c>
      <c r="F5" s="14" t="s">
        <v>769</v>
      </c>
      <c r="G5" s="15"/>
      <c r="H5" s="16"/>
    </row>
  </sheetData>
  <mergeCells count="1">
    <mergeCell ref="B3:E3"/>
  </mergeCells>
  <pageMargins left="0.75" right="0.75" top="1" bottom="1" header="0.5" footer="0.5"/>
  <headerFooter/>
  <ignoredErrors>
    <ignoredError sqref="F3" unlockedFormula="1"/>
  </ignoredErrors>
  <drawing r:id="rId1"/>
  <legacyDrawing r:id="rId2"/>
  <controls>
    <mc:AlternateContent xmlns:mc="http://schemas.openxmlformats.org/markup-compatibility/2006">
      <mc:Choice Requires="x14">
        <control shapeId="1043" r:id="rId3" name="CheckBox1">
          <controlPr defaultSize="0" r:id="rId4" print="0">
            <anchor moveWithCells="1">
              <from>
                <xdr:col>7</xdr:col>
                <xdr:colOff>133350</xdr:colOff>
                <xdr:row>3</xdr:row>
                <xdr:rowOff>28575</xdr:rowOff>
              </from>
              <to>
                <xdr:col>9</xdr:col>
                <xdr:colOff>257175</xdr:colOff>
                <xdr:row>3</xdr:row>
                <xdr:rowOff>257175</xdr:rowOff>
              </to>
            </anchor>
          </controlPr>
        </control>
      </mc:Choice>
      <mc:Fallback>
        <control shapeId="1043" r:id="rId3" name="CheckBox1"/>
      </mc:Fallback>
    </mc:AlternateContent>
    <mc:AlternateContent xmlns:mc="http://schemas.openxmlformats.org/markup-compatibility/2006">
      <mc:Choice Requires="x14">
        <control shapeId="1048" r:id="rId5" name="OptionButton1">
          <controlPr defaultSize="0" r:id="rId6">
            <anchor moveWithCells="1">
              <from>
                <xdr:col>7</xdr:col>
                <xdr:colOff>66675</xdr:colOff>
                <xdr:row>0</xdr:row>
                <xdr:rowOff>66675</xdr:rowOff>
              </from>
              <to>
                <xdr:col>8</xdr:col>
                <xdr:colOff>295275</xdr:colOff>
                <xdr:row>1</xdr:row>
                <xdr:rowOff>95250</xdr:rowOff>
              </to>
            </anchor>
          </controlPr>
        </control>
      </mc:Choice>
      <mc:Fallback>
        <control shapeId="1048" r:id="rId5" name="OptionButton1"/>
      </mc:Fallback>
    </mc:AlternateContent>
    <mc:AlternateContent xmlns:mc="http://schemas.openxmlformats.org/markup-compatibility/2006">
      <mc:Choice Requires="x14">
        <control shapeId="1049" r:id="rId7" name="OptionButton2">
          <controlPr defaultSize="0" r:id="rId8">
            <anchor moveWithCells="1">
              <from>
                <xdr:col>8</xdr:col>
                <xdr:colOff>381000</xdr:colOff>
                <xdr:row>0</xdr:row>
                <xdr:rowOff>66675</xdr:rowOff>
              </from>
              <to>
                <xdr:col>9</xdr:col>
                <xdr:colOff>609600</xdr:colOff>
                <xdr:row>1</xdr:row>
                <xdr:rowOff>95250</xdr:rowOff>
              </to>
            </anchor>
          </controlPr>
        </control>
      </mc:Choice>
      <mc:Fallback>
        <control shapeId="1049" r:id="rId7" name="OptionButton2"/>
      </mc:Fallback>
    </mc:AlternateContent>
    <mc:AlternateContent xmlns:mc="http://schemas.openxmlformats.org/markup-compatibility/2006">
      <mc:Choice Requires="x14">
        <control shapeId="1050" r:id="rId9" name="OptionButton3">
          <controlPr defaultSize="0" r:id="rId10">
            <anchor moveWithCells="1">
              <from>
                <xdr:col>10</xdr:col>
                <xdr:colOff>9525</xdr:colOff>
                <xdr:row>0</xdr:row>
                <xdr:rowOff>66675</xdr:rowOff>
              </from>
              <to>
                <xdr:col>11</xdr:col>
                <xdr:colOff>238125</xdr:colOff>
                <xdr:row>1</xdr:row>
                <xdr:rowOff>95250</xdr:rowOff>
              </to>
            </anchor>
          </controlPr>
        </control>
      </mc:Choice>
      <mc:Fallback>
        <control shapeId="1050" r:id="rId9" name="OptionButton3"/>
      </mc:Fallback>
    </mc:AlternateContent>
    <mc:AlternateContent xmlns:mc="http://schemas.openxmlformats.org/markup-compatibility/2006">
      <mc:Choice Requires="x14">
        <control shapeId="1034" name="Button 10" r:id="rId11">
          <controlPr print="0" defaultSize="0">
            <anchor moveWithCells="1">
              <from>
                <xdr:col>0</xdr:col>
                <xdr:colOff>676275</xdr:colOff>
                <xdr:row>4</xdr:row>
                <xdr:rowOff>19050</xdr:rowOff>
              </from>
              <to>
                <xdr:col>2</xdr:col>
                <xdr:colOff>0</xdr:colOff>
                <xdr:row>4</xdr:row>
                <xdr:rowOff>1898650</xdr:rowOff>
              </to>
            </anchor>
          </controlPr>
        </control>
      </mc:Choice>
    </mc:AlternateContent>
    <mc:AlternateContent xmlns:mc="http://schemas.openxmlformats.org/markup-compatibility/2006">
      <mc:Choice Requires="x14">
        <control shapeId="1035" name="Button 11" r:id="rId12">
          <controlPr print="0" defaultSize="0">
            <anchor moveWithCells="1">
              <from>
                <xdr:col>2</xdr:col>
                <xdr:colOff>0</xdr:colOff>
                <xdr:row>4</xdr:row>
                <xdr:rowOff>19050</xdr:rowOff>
              </from>
              <to>
                <xdr:col>3</xdr:col>
                <xdr:colOff>0</xdr:colOff>
                <xdr:row>4</xdr:row>
                <xdr:rowOff>1898650</xdr:rowOff>
              </to>
            </anchor>
          </controlPr>
        </control>
      </mc:Choice>
    </mc:AlternateContent>
    <mc:AlternateContent xmlns:mc="http://schemas.openxmlformats.org/markup-compatibility/2006">
      <mc:Choice Requires="x14">
        <control shapeId="1036" name="Button 12" r:id="rId13">
          <controlPr print="0" defaultSize="0">
            <anchor moveWithCells="1">
              <from>
                <xdr:col>3</xdr:col>
                <xdr:colOff>9525</xdr:colOff>
                <xdr:row>4</xdr:row>
                <xdr:rowOff>19050</xdr:rowOff>
              </from>
              <to>
                <xdr:col>4</xdr:col>
                <xdr:colOff>5715</xdr:colOff>
                <xdr:row>4</xdr:row>
                <xdr:rowOff>1898650</xdr:rowOff>
              </to>
            </anchor>
          </controlPr>
        </control>
      </mc:Choice>
    </mc:AlternateContent>
    <mc:AlternateContent xmlns:mc="http://schemas.openxmlformats.org/markup-compatibility/2006">
      <mc:Choice Requires="x14">
        <control shapeId="1037" name="Button 13" r:id="rId14">
          <controlPr print="0" defaultSize="0">
            <anchor moveWithCells="1">
              <from>
                <xdr:col>4</xdr:col>
                <xdr:colOff>9525</xdr:colOff>
                <xdr:row>4</xdr:row>
                <xdr:rowOff>19050</xdr:rowOff>
              </from>
              <to>
                <xdr:col>5</xdr:col>
                <xdr:colOff>5715</xdr:colOff>
                <xdr:row>4</xdr:row>
                <xdr:rowOff>1898650</xdr:rowOff>
              </to>
            </anchor>
          </controlPr>
        </control>
      </mc:Choice>
    </mc:AlternateContent>
    <mc:AlternateContent xmlns:mc="http://schemas.openxmlformats.org/markup-compatibility/2006">
      <mc:Choice Requires="x14">
        <control shapeId="1038" name="Button 14" r:id="rId15">
          <controlPr print="0" defaultSize="0">
            <anchor moveWithCells="1">
              <from>
                <xdr:col>5</xdr:col>
                <xdr:colOff>142875</xdr:colOff>
                <xdr:row>3</xdr:row>
                <xdr:rowOff>38100</xdr:rowOff>
              </from>
              <to>
                <xdr:col>6</xdr:col>
                <xdr:colOff>495300</xdr:colOff>
                <xdr:row>3</xdr:row>
                <xdr:rowOff>266700</xdr:rowOff>
              </to>
            </anchor>
          </controlPr>
        </control>
      </mc:Choice>
    </mc:AlternateContent>
    <mc:AlternateContent xmlns:mc="http://schemas.openxmlformats.org/markup-compatibility/2006">
      <mc:Choice Requires="x14">
        <control shapeId="1039" name="Button 15" r:id="rId16">
          <controlPr print="0" defaultSize="0">
            <anchor moveWithCells="1">
              <from>
                <xdr:col>7</xdr:col>
                <xdr:colOff>47625</xdr:colOff>
                <xdr:row>2</xdr:row>
                <xdr:rowOff>57150</xdr:rowOff>
              </from>
              <to>
                <xdr:col>8</xdr:col>
                <xdr:colOff>0</xdr:colOff>
                <xdr:row>2</xdr:row>
                <xdr:rowOff>514985</xdr:rowOff>
              </to>
            </anchor>
          </controlPr>
        </control>
      </mc:Choice>
    </mc:AlternateContent>
    <mc:AlternateContent xmlns:mc="http://schemas.openxmlformats.org/markup-compatibility/2006">
      <mc:Choice Requires="x14">
        <control shapeId="1040" name="Button 16" r:id="rId17">
          <controlPr print="0" defaultSize="0">
            <anchor moveWithCells="1">
              <from>
                <xdr:col>8</xdr:col>
                <xdr:colOff>37465</xdr:colOff>
                <xdr:row>2</xdr:row>
                <xdr:rowOff>38100</xdr:rowOff>
              </from>
              <to>
                <xdr:col>9</xdr:col>
                <xdr:colOff>0</xdr:colOff>
                <xdr:row>2</xdr:row>
                <xdr:rowOff>542290</xdr:rowOff>
              </to>
            </anchor>
          </controlPr>
        </control>
      </mc:Choice>
    </mc:AlternateContent>
    <mc:AlternateContent xmlns:mc="http://schemas.openxmlformats.org/markup-compatibility/2006">
      <mc:Choice Requires="x14">
        <control shapeId="1041" name="Button 17" r:id="rId18">
          <controlPr print="0" defaultSize="0">
            <anchor moveWithCells="1">
              <from>
                <xdr:col>4</xdr:col>
                <xdr:colOff>314325</xdr:colOff>
                <xdr:row>0</xdr:row>
                <xdr:rowOff>28575</xdr:rowOff>
              </from>
              <to>
                <xdr:col>5</xdr:col>
                <xdr:colOff>0</xdr:colOff>
                <xdr:row>1</xdr:row>
                <xdr:rowOff>104775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WPS 表格</Application>
  <HeadingPairs>
    <vt:vector size="2" baseType="variant">
      <vt:variant>
        <vt:lpstr>工作表</vt:lpstr>
      </vt:variant>
      <vt:variant>
        <vt:i4>2</vt:i4>
      </vt:variant>
    </vt:vector>
  </HeadingPairs>
  <TitlesOfParts>
    <vt:vector size="2" baseType="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tanjunhao</dc:creator>
  <cp:lastModifiedBy>谭钧豪</cp:lastModifiedBy>
  <dcterms:created xsi:type="dcterms:W3CDTF">2020-02-27T03:31:00Z</dcterms:created>
  <dcterms:modified xsi:type="dcterms:W3CDTF">2020-02-27T14:36:52Z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2052-11.1.0.9339</vt:lpwstr>
  </property>
</Properties>
</file>